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rr1\Downloads\"/>
    </mc:Choice>
  </mc:AlternateContent>
  <xr:revisionPtr revIDLastSave="0" documentId="13_ncr:1_{64237F34-D0AA-4408-A2B1-D1A639998025}" xr6:coauthVersionLast="47" xr6:coauthVersionMax="47" xr10:uidLastSave="{00000000-0000-0000-0000-000000000000}"/>
  <bookViews>
    <workbookView xWindow="35715" yWindow="900" windowWidth="21600" windowHeight="11385" xr2:uid="{B8EC2356-D2FB-4C3B-9A4E-EEB60AF846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37" i="1"/>
  <c r="C35" i="1"/>
  <c r="C34" i="1"/>
  <c r="C25" i="1"/>
  <c r="C24" i="1"/>
  <c r="C22" i="1"/>
  <c r="C21" i="1"/>
  <c r="C9" i="1"/>
  <c r="C8" i="1"/>
  <c r="C7" i="1"/>
  <c r="C40" i="1" l="1"/>
  <c r="C28" i="1"/>
  <c r="C44" i="1" s="1"/>
  <c r="C15" i="1"/>
</calcChain>
</file>

<file path=xl/sharedStrings.xml><?xml version="1.0" encoding="utf-8"?>
<sst xmlns="http://schemas.openxmlformats.org/spreadsheetml/2006/main" count="44" uniqueCount="23">
  <si>
    <t>Costo</t>
  </si>
  <si>
    <t>Gastos de luz</t>
  </si>
  <si>
    <t>Total</t>
  </si>
  <si>
    <t>Servicios de internet</t>
  </si>
  <si>
    <t xml:space="preserve">Disco SSD </t>
  </si>
  <si>
    <t>H.H, constructor</t>
  </si>
  <si>
    <t>Item Fase 1</t>
  </si>
  <si>
    <t>Horas</t>
  </si>
  <si>
    <t>Valor Hora</t>
  </si>
  <si>
    <t>Jefe de proyecto</t>
  </si>
  <si>
    <t>Analista QA</t>
  </si>
  <si>
    <t>Tester</t>
  </si>
  <si>
    <t xml:space="preserve">Movilización </t>
  </si>
  <si>
    <t>Colaciones</t>
  </si>
  <si>
    <t>Ordenador Jonathan</t>
  </si>
  <si>
    <t>Ordenador Diego</t>
  </si>
  <si>
    <t>Ordenador Felipe</t>
  </si>
  <si>
    <t>Item Fase 2</t>
  </si>
  <si>
    <t>Constructor</t>
  </si>
  <si>
    <t>Item Fase 3</t>
  </si>
  <si>
    <t>Insumos Oficina</t>
  </si>
  <si>
    <t>Total Absoluto</t>
  </si>
  <si>
    <t>Servicio en la nube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</si>
</sst>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6" xfId="0" applyBorder="1"/>
    <xf numFmtId="42" fontId="0" fillId="0" borderId="5" xfId="1" applyFont="1" applyBorder="1"/>
    <xf numFmtId="42" fontId="0" fillId="0" borderId="7" xfId="1" applyFont="1" applyBorder="1"/>
    <xf numFmtId="42" fontId="0" fillId="0" borderId="11" xfId="1" applyFont="1" applyBorder="1"/>
    <xf numFmtId="42" fontId="0" fillId="0" borderId="13" xfId="1" applyFont="1" applyBorder="1"/>
    <xf numFmtId="0" fontId="0" fillId="0" borderId="14" xfId="0" applyBorder="1"/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8" xfId="0" applyFill="1" applyBorder="1"/>
    <xf numFmtId="42" fontId="0" fillId="2" borderId="12" xfId="1" applyFont="1" applyFill="1" applyBorder="1"/>
    <xf numFmtId="0" fontId="0" fillId="2" borderId="15" xfId="0" applyFill="1" applyBorder="1"/>
    <xf numFmtId="0" fontId="0" fillId="2" borderId="9" xfId="0" applyFill="1" applyBorder="1"/>
    <xf numFmtId="0" fontId="0" fillId="2" borderId="2" xfId="0" applyFill="1" applyBorder="1"/>
    <xf numFmtId="42" fontId="0" fillId="2" borderId="16" xfId="0" applyNumberFormat="1" applyFill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65C5-A7F7-4305-B3B9-E48E15C5BC01}">
  <dimension ref="B2:E44"/>
  <sheetViews>
    <sheetView tabSelected="1" topLeftCell="A27" workbookViewId="0">
      <selection activeCell="K12" sqref="K12"/>
    </sheetView>
  </sheetViews>
  <sheetFormatPr baseColWidth="10" defaultRowHeight="15" x14ac:dyDescent="0.25"/>
  <cols>
    <col min="2" max="2" width="20.28515625" customWidth="1"/>
    <col min="3" max="3" width="16.85546875" customWidth="1"/>
    <col min="4" max="4" width="13.5703125" customWidth="1"/>
    <col min="5" max="5" width="14" customWidth="1"/>
  </cols>
  <sheetData>
    <row r="2" spans="2:5" ht="15.75" thickBot="1" x14ac:dyDescent="0.3"/>
    <row r="3" spans="2:5" ht="15.75" thickBot="1" x14ac:dyDescent="0.3">
      <c r="B3" s="9" t="s">
        <v>6</v>
      </c>
      <c r="C3" s="10" t="s">
        <v>0</v>
      </c>
      <c r="D3" s="11" t="s">
        <v>7</v>
      </c>
      <c r="E3" s="10" t="s">
        <v>8</v>
      </c>
    </row>
    <row r="4" spans="2:5" x14ac:dyDescent="0.25">
      <c r="B4" s="2" t="s">
        <v>1</v>
      </c>
      <c r="C4" s="7">
        <v>180000</v>
      </c>
      <c r="D4" s="8"/>
      <c r="E4" s="4"/>
    </row>
    <row r="5" spans="2:5" x14ac:dyDescent="0.25">
      <c r="B5" s="3" t="s">
        <v>3</v>
      </c>
      <c r="C5" s="6">
        <v>120000</v>
      </c>
      <c r="D5" s="1"/>
      <c r="E5" s="5"/>
    </row>
    <row r="6" spans="2:5" x14ac:dyDescent="0.25">
      <c r="B6" s="3" t="s">
        <v>4</v>
      </c>
      <c r="C6" s="6">
        <v>150000</v>
      </c>
      <c r="D6" s="1"/>
      <c r="E6" s="5"/>
    </row>
    <row r="7" spans="2:5" x14ac:dyDescent="0.25">
      <c r="B7" s="3" t="s">
        <v>5</v>
      </c>
      <c r="C7" s="6">
        <f>D7*E7</f>
        <v>112500</v>
      </c>
      <c r="D7" s="1">
        <v>25</v>
      </c>
      <c r="E7" s="5">
        <v>4500</v>
      </c>
    </row>
    <row r="8" spans="2:5" x14ac:dyDescent="0.25">
      <c r="B8" s="3" t="s">
        <v>9</v>
      </c>
      <c r="C8" s="6">
        <f>D8*E8</f>
        <v>308400</v>
      </c>
      <c r="D8" s="1">
        <v>20</v>
      </c>
      <c r="E8" s="5">
        <v>15420</v>
      </c>
    </row>
    <row r="9" spans="2:5" x14ac:dyDescent="0.25">
      <c r="B9" s="3" t="s">
        <v>10</v>
      </c>
      <c r="C9" s="6">
        <f>D9*E9</f>
        <v>369800</v>
      </c>
      <c r="D9" s="1">
        <v>20</v>
      </c>
      <c r="E9" s="5">
        <v>18490</v>
      </c>
    </row>
    <row r="10" spans="2:5" x14ac:dyDescent="0.25">
      <c r="B10" s="3" t="s">
        <v>12</v>
      </c>
      <c r="C10" s="6">
        <v>80500</v>
      </c>
      <c r="D10" s="1"/>
      <c r="E10" s="5"/>
    </row>
    <row r="11" spans="2:5" x14ac:dyDescent="0.25">
      <c r="B11" s="3" t="s">
        <v>13</v>
      </c>
      <c r="C11" s="6">
        <v>20000</v>
      </c>
      <c r="D11" s="1"/>
      <c r="E11" s="5"/>
    </row>
    <row r="12" spans="2:5" x14ac:dyDescent="0.25">
      <c r="B12" s="3" t="s">
        <v>14</v>
      </c>
      <c r="C12" s="6">
        <v>1800000</v>
      </c>
      <c r="D12" s="1"/>
      <c r="E12" s="5"/>
    </row>
    <row r="13" spans="2:5" x14ac:dyDescent="0.25">
      <c r="B13" s="3" t="s">
        <v>15</v>
      </c>
      <c r="C13" s="6">
        <v>2500000</v>
      </c>
      <c r="D13" s="1"/>
      <c r="E13" s="5"/>
    </row>
    <row r="14" spans="2:5" x14ac:dyDescent="0.25">
      <c r="B14" s="3" t="s">
        <v>16</v>
      </c>
      <c r="C14" s="6">
        <v>1500000</v>
      </c>
      <c r="D14" s="1"/>
      <c r="E14" s="5"/>
    </row>
    <row r="15" spans="2:5" ht="15.75" thickBot="1" x14ac:dyDescent="0.3">
      <c r="B15" s="12" t="s">
        <v>2</v>
      </c>
      <c r="C15" s="13">
        <f>SUM(C4:C14)</f>
        <v>7141200</v>
      </c>
      <c r="D15" s="14"/>
      <c r="E15" s="15"/>
    </row>
    <row r="17" spans="2:5" ht="15.75" thickBot="1" x14ac:dyDescent="0.3"/>
    <row r="18" spans="2:5" ht="15.75" thickBot="1" x14ac:dyDescent="0.3">
      <c r="B18" s="9" t="s">
        <v>17</v>
      </c>
      <c r="C18" s="10" t="s">
        <v>0</v>
      </c>
      <c r="D18" s="11" t="s">
        <v>7</v>
      </c>
      <c r="E18" s="10" t="s">
        <v>8</v>
      </c>
    </row>
    <row r="19" spans="2:5" x14ac:dyDescent="0.25">
      <c r="B19" s="2" t="s">
        <v>1</v>
      </c>
      <c r="C19" s="7">
        <v>360000</v>
      </c>
      <c r="D19" s="8"/>
      <c r="E19" s="4"/>
    </row>
    <row r="20" spans="2:5" x14ac:dyDescent="0.25">
      <c r="B20" s="3" t="s">
        <v>3</v>
      </c>
      <c r="C20" s="6">
        <v>240000</v>
      </c>
      <c r="D20" s="1"/>
      <c r="E20" s="5"/>
    </row>
    <row r="21" spans="2:5" x14ac:dyDescent="0.25">
      <c r="B21" s="3" t="s">
        <v>18</v>
      </c>
      <c r="C21" s="6">
        <f>D21*E21</f>
        <v>1125000</v>
      </c>
      <c r="D21" s="1">
        <v>250</v>
      </c>
      <c r="E21" s="5">
        <v>4500</v>
      </c>
    </row>
    <row r="22" spans="2:5" x14ac:dyDescent="0.25">
      <c r="B22" s="3" t="s">
        <v>9</v>
      </c>
      <c r="C22" s="6">
        <f>D22*E22</f>
        <v>462600</v>
      </c>
      <c r="D22" s="1">
        <v>30</v>
      </c>
      <c r="E22" s="5">
        <v>15420</v>
      </c>
    </row>
    <row r="23" spans="2:5" x14ac:dyDescent="0.25">
      <c r="B23" s="3" t="s">
        <v>22</v>
      </c>
      <c r="C23" s="6">
        <f>D23*E23</f>
        <v>187500</v>
      </c>
      <c r="D23" s="1">
        <v>125</v>
      </c>
      <c r="E23" s="5">
        <v>1500</v>
      </c>
    </row>
    <row r="24" spans="2:5" x14ac:dyDescent="0.25">
      <c r="B24" s="3" t="s">
        <v>10</v>
      </c>
      <c r="C24" s="6">
        <f>D24*E24</f>
        <v>1849000</v>
      </c>
      <c r="D24" s="1">
        <v>100</v>
      </c>
      <c r="E24" s="5">
        <v>18490</v>
      </c>
    </row>
    <row r="25" spans="2:5" x14ac:dyDescent="0.25">
      <c r="B25" s="3" t="s">
        <v>11</v>
      </c>
      <c r="C25" s="6">
        <f>D25*E25</f>
        <v>148200</v>
      </c>
      <c r="D25" s="1">
        <v>20</v>
      </c>
      <c r="E25" s="5">
        <v>7410</v>
      </c>
    </row>
    <row r="26" spans="2:5" x14ac:dyDescent="0.25">
      <c r="B26" s="3" t="s">
        <v>12</v>
      </c>
      <c r="C26" s="6">
        <v>161000</v>
      </c>
      <c r="D26" s="1"/>
      <c r="E26" s="5"/>
    </row>
    <row r="27" spans="2:5" x14ac:dyDescent="0.25">
      <c r="B27" s="3" t="s">
        <v>13</v>
      </c>
      <c r="C27" s="6">
        <v>40000</v>
      </c>
      <c r="D27" s="1"/>
      <c r="E27" s="5"/>
    </row>
    <row r="28" spans="2:5" ht="15.75" thickBot="1" x14ac:dyDescent="0.3">
      <c r="B28" s="12" t="s">
        <v>2</v>
      </c>
      <c r="C28" s="13">
        <f>SUM(C19:C27)</f>
        <v>4573300</v>
      </c>
      <c r="D28" s="14"/>
      <c r="E28" s="15"/>
    </row>
    <row r="30" spans="2:5" ht="15.75" thickBot="1" x14ac:dyDescent="0.3"/>
    <row r="31" spans="2:5" ht="15.75" thickBot="1" x14ac:dyDescent="0.3">
      <c r="B31" s="9" t="s">
        <v>19</v>
      </c>
      <c r="C31" s="10" t="s">
        <v>0</v>
      </c>
      <c r="D31" s="11" t="s">
        <v>7</v>
      </c>
      <c r="E31" s="10" t="s">
        <v>8</v>
      </c>
    </row>
    <row r="32" spans="2:5" x14ac:dyDescent="0.25">
      <c r="B32" s="2" t="s">
        <v>1</v>
      </c>
      <c r="C32" s="7">
        <v>180000</v>
      </c>
      <c r="D32" s="8"/>
      <c r="E32" s="4"/>
    </row>
    <row r="33" spans="2:5" x14ac:dyDescent="0.25">
      <c r="B33" s="3" t="s">
        <v>3</v>
      </c>
      <c r="C33" s="6">
        <v>120000</v>
      </c>
      <c r="D33" s="1"/>
      <c r="E33" s="5"/>
    </row>
    <row r="34" spans="2:5" x14ac:dyDescent="0.25">
      <c r="B34" s="3" t="s">
        <v>18</v>
      </c>
      <c r="C34" s="6">
        <f>D34*E34</f>
        <v>18000</v>
      </c>
      <c r="D34" s="1">
        <v>4</v>
      </c>
      <c r="E34" s="5">
        <v>4500</v>
      </c>
    </row>
    <row r="35" spans="2:5" x14ac:dyDescent="0.25">
      <c r="B35" s="3" t="s">
        <v>9</v>
      </c>
      <c r="C35" s="6">
        <f>D35*E35</f>
        <v>61680</v>
      </c>
      <c r="D35" s="1">
        <v>4</v>
      </c>
      <c r="E35" s="5">
        <v>15420</v>
      </c>
    </row>
    <row r="36" spans="2:5" x14ac:dyDescent="0.25">
      <c r="B36" s="3" t="s">
        <v>20</v>
      </c>
      <c r="C36" s="6">
        <v>20000</v>
      </c>
      <c r="D36" s="1"/>
      <c r="E36" s="5"/>
    </row>
    <row r="37" spans="2:5" x14ac:dyDescent="0.25">
      <c r="B37" s="3" t="s">
        <v>10</v>
      </c>
      <c r="C37" s="6">
        <f>D37*E37</f>
        <v>73960</v>
      </c>
      <c r="D37" s="1">
        <v>4</v>
      </c>
      <c r="E37" s="5">
        <v>18490</v>
      </c>
    </row>
    <row r="38" spans="2:5" x14ac:dyDescent="0.25">
      <c r="B38" s="3" t="s">
        <v>12</v>
      </c>
      <c r="C38" s="6">
        <v>80500</v>
      </c>
      <c r="D38" s="1"/>
      <c r="E38" s="5"/>
    </row>
    <row r="39" spans="2:5" x14ac:dyDescent="0.25">
      <c r="B39" s="3" t="s">
        <v>13</v>
      </c>
      <c r="C39" s="6">
        <v>20000</v>
      </c>
      <c r="D39" s="1"/>
      <c r="E39" s="5"/>
    </row>
    <row r="40" spans="2:5" ht="15.75" thickBot="1" x14ac:dyDescent="0.3">
      <c r="B40" s="12" t="s">
        <v>2</v>
      </c>
      <c r="C40" s="13">
        <f>SUM(C32:C39)</f>
        <v>574140</v>
      </c>
      <c r="D40" s="14"/>
      <c r="E40" s="15"/>
    </row>
    <row r="43" spans="2:5" ht="15.75" thickBot="1" x14ac:dyDescent="0.3"/>
    <row r="44" spans="2:5" ht="15.75" thickBot="1" x14ac:dyDescent="0.3">
      <c r="B44" s="16" t="s">
        <v>21</v>
      </c>
      <c r="C44" s="17">
        <f>SUM(C40+C28+C15)</f>
        <v>12288640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ESTEBAN CRUELLS ORELLANA</dc:creator>
  <cp:lastModifiedBy>JONATHAN ESTEBAN CRUELLS ORELLANA</cp:lastModifiedBy>
  <dcterms:created xsi:type="dcterms:W3CDTF">2025-09-03T23:55:58Z</dcterms:created>
  <dcterms:modified xsi:type="dcterms:W3CDTF">2025-09-04T22:13:34Z</dcterms:modified>
</cp:coreProperties>
</file>