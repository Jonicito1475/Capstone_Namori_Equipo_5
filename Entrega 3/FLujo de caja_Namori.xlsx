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r1\OneDrive\Escritorio\Capstone_Namori_Equipo_5\Entrega 3\"/>
    </mc:Choice>
  </mc:AlternateContent>
  <xr:revisionPtr revIDLastSave="0" documentId="13_ncr:1_{D3E1B16A-EE6E-433A-8CF6-DBC17C12A870}" xr6:coauthVersionLast="47" xr6:coauthVersionMax="47" xr10:uidLastSave="{00000000-0000-0000-0000-000000000000}"/>
  <bookViews>
    <workbookView xWindow="-120" yWindow="-120" windowWidth="29040" windowHeight="15840" xr2:uid="{08522824-B4BD-48D7-93D6-DC835EE6BC30}"/>
  </bookViews>
  <sheets>
    <sheet name="Gastos de solución" sheetId="1" r:id="rId1"/>
    <sheet name="Flujo de caja y datos" sheetId="2" r:id="rId2"/>
    <sheet name="Concluciones E interpretacion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2" l="1"/>
  <c r="C70" i="2" s="1"/>
  <c r="C72" i="2"/>
  <c r="D71" i="2"/>
  <c r="N16" i="1" l="1"/>
  <c r="N15" i="1"/>
  <c r="N14" i="1"/>
  <c r="N13" i="1"/>
  <c r="M32" i="1"/>
  <c r="D36" i="1"/>
  <c r="D37" i="1" l="1"/>
  <c r="D35" i="1"/>
  <c r="D34" i="1"/>
  <c r="D40" i="1" s="1"/>
  <c r="D24" i="1"/>
  <c r="D23" i="1"/>
  <c r="D21" i="1"/>
  <c r="D20" i="1"/>
  <c r="D28" i="1" s="1"/>
  <c r="J17" i="1"/>
  <c r="J16" i="1"/>
  <c r="J15" i="1"/>
  <c r="J14" i="1"/>
  <c r="J13" i="1"/>
  <c r="D8" i="1"/>
  <c r="D7" i="1"/>
  <c r="D6" i="1"/>
  <c r="P30" i="1"/>
  <c r="D14" i="1" l="1"/>
  <c r="D44" i="1"/>
  <c r="J12" i="1"/>
  <c r="J19" i="1" s="1"/>
  <c r="F40" i="2" l="1"/>
  <c r="G40" i="2"/>
  <c r="H40" i="2"/>
  <c r="I40" i="2"/>
  <c r="J40" i="2"/>
  <c r="K40" i="2"/>
  <c r="L40" i="2"/>
  <c r="M40" i="2"/>
  <c r="N40" i="2"/>
  <c r="O40" i="2"/>
  <c r="P40" i="2"/>
  <c r="E40" i="2"/>
  <c r="L8" i="2" l="1"/>
  <c r="M7" i="2"/>
  <c r="M8" i="2" s="1"/>
  <c r="D5" i="5"/>
  <c r="N7" i="2" l="1"/>
  <c r="O7" i="2" s="1"/>
  <c r="P7" i="2" s="1"/>
  <c r="Q7" i="2" s="1"/>
  <c r="R7" i="2" s="1"/>
  <c r="S7" i="2" s="1"/>
  <c r="T7" i="2" s="1"/>
  <c r="U7" i="2" s="1"/>
  <c r="V7" i="2" s="1"/>
  <c r="W7" i="2" s="1"/>
  <c r="W8" i="2" s="1"/>
  <c r="T8" i="2" l="1"/>
  <c r="N8" i="2"/>
  <c r="Q8" i="2"/>
  <c r="U8" i="2"/>
  <c r="O8" i="2"/>
  <c r="P8" i="2"/>
  <c r="R8" i="2"/>
  <c r="S8" i="2"/>
  <c r="V8" i="2"/>
  <c r="E28" i="2" l="1"/>
  <c r="F43" i="2"/>
  <c r="G43" i="2"/>
  <c r="H43" i="2"/>
  <c r="I43" i="2"/>
  <c r="J43" i="2"/>
  <c r="K43" i="2"/>
  <c r="L43" i="2"/>
  <c r="M43" i="2"/>
  <c r="N43" i="2"/>
  <c r="O43" i="2"/>
  <c r="P43" i="2"/>
  <c r="E43" i="2"/>
  <c r="C17" i="2"/>
  <c r="P28" i="1"/>
  <c r="P29" i="1"/>
  <c r="P27" i="1"/>
  <c r="P32" i="1" l="1"/>
  <c r="H49" i="2"/>
  <c r="H62" i="2" s="1"/>
  <c r="H64" i="2" s="1"/>
  <c r="E49" i="2"/>
  <c r="E62" i="2" s="1"/>
  <c r="E64" i="2" s="1"/>
  <c r="P49" i="2"/>
  <c r="P62" i="2" s="1"/>
  <c r="P64" i="2" s="1"/>
  <c r="O49" i="2"/>
  <c r="O62" i="2" s="1"/>
  <c r="O64" i="2" s="1"/>
  <c r="N49" i="2"/>
  <c r="N62" i="2" s="1"/>
  <c r="N64" i="2" s="1"/>
  <c r="M49" i="2"/>
  <c r="M62" i="2" s="1"/>
  <c r="M64" i="2" s="1"/>
  <c r="L49" i="2"/>
  <c r="L62" i="2" s="1"/>
  <c r="L64" i="2" s="1"/>
  <c r="I49" i="2"/>
  <c r="I62" i="2" s="1"/>
  <c r="I64" i="2" s="1"/>
  <c r="G49" i="2"/>
  <c r="G62" i="2" s="1"/>
  <c r="G64" i="2" s="1"/>
  <c r="F49" i="2"/>
  <c r="F62" i="2" s="1"/>
  <c r="F64" i="2" s="1"/>
  <c r="J49" i="2"/>
  <c r="J62" i="2" s="1"/>
  <c r="J64" i="2" s="1"/>
  <c r="K49" i="2"/>
  <c r="K62" i="2" s="1"/>
  <c r="K64" i="2" s="1"/>
  <c r="F28" i="2"/>
  <c r="E30" i="2"/>
  <c r="E60" i="2" s="1"/>
  <c r="N28" i="2"/>
  <c r="M28" i="2"/>
  <c r="J28" i="2"/>
  <c r="H28" i="2"/>
  <c r="G28" i="2"/>
  <c r="O28" i="2"/>
  <c r="L28" i="2"/>
  <c r="E65" i="2" l="1"/>
  <c r="E66" i="2" s="1"/>
  <c r="P28" i="2"/>
  <c r="P30" i="2" s="1"/>
  <c r="P60" i="2" s="1"/>
  <c r="P65" i="2" s="1"/>
  <c r="H30" i="2"/>
  <c r="H60" i="2" s="1"/>
  <c r="H65" i="2" s="1"/>
  <c r="I28" i="2"/>
  <c r="I30" i="2" s="1"/>
  <c r="I60" i="2" s="1"/>
  <c r="I65" i="2" s="1"/>
  <c r="J30" i="2"/>
  <c r="J60" i="2" s="1"/>
  <c r="J65" i="2" s="1"/>
  <c r="K28" i="2"/>
  <c r="O30" i="2"/>
  <c r="O60" i="2" s="1"/>
  <c r="O65" i="2" s="1"/>
  <c r="M30" i="2"/>
  <c r="M60" i="2" s="1"/>
  <c r="M65" i="2" s="1"/>
  <c r="L30" i="2"/>
  <c r="L60" i="2" s="1"/>
  <c r="L65" i="2" s="1"/>
  <c r="N30" i="2"/>
  <c r="N60" i="2" s="1"/>
  <c r="N65" i="2" s="1"/>
  <c r="F30" i="2"/>
  <c r="F60" i="2" s="1"/>
  <c r="F65" i="2" s="1"/>
  <c r="K30" i="2"/>
  <c r="K60" i="2" s="1"/>
  <c r="K65" i="2" s="1"/>
  <c r="G30" i="2"/>
  <c r="G60" i="2" s="1"/>
  <c r="G65" i="2" s="1"/>
  <c r="L66" i="2" l="1"/>
  <c r="L67" i="2" s="1"/>
  <c r="F66" i="2"/>
  <c r="F67" i="2" s="1"/>
  <c r="J66" i="2"/>
  <c r="J67" i="2" s="1"/>
  <c r="K66" i="2"/>
  <c r="K67" i="2" s="1"/>
  <c r="M66" i="2"/>
  <c r="M67" i="2" s="1"/>
  <c r="P66" i="2"/>
  <c r="P67" i="2" s="1"/>
  <c r="N66" i="2"/>
  <c r="N67" i="2" s="1"/>
  <c r="G66" i="2"/>
  <c r="G67" i="2" s="1"/>
  <c r="O66" i="2"/>
  <c r="O67" i="2" s="1"/>
  <c r="I66" i="2"/>
  <c r="I67" i="2" s="1"/>
  <c r="H66" i="2"/>
  <c r="H67" i="2" s="1"/>
  <c r="E67" i="2"/>
  <c r="C69" i="2" l="1"/>
  <c r="D4" i="5" s="1"/>
  <c r="C73" i="2"/>
  <c r="D6" i="5" l="1"/>
  <c r="D3" i="5"/>
</calcChain>
</file>

<file path=xl/sharedStrings.xml><?xml version="1.0" encoding="utf-8"?>
<sst xmlns="http://schemas.openxmlformats.org/spreadsheetml/2006/main" count="150" uniqueCount="93">
  <si>
    <t>Cargo</t>
  </si>
  <si>
    <t>Valor HH</t>
  </si>
  <si>
    <t>Mensual</t>
  </si>
  <si>
    <t>Gastos</t>
  </si>
  <si>
    <t>Monto</t>
  </si>
  <si>
    <t>Cantidad Pagos</t>
  </si>
  <si>
    <t>Datos Brutos</t>
  </si>
  <si>
    <t>Recurso Propio</t>
  </si>
  <si>
    <t>Interes</t>
  </si>
  <si>
    <t>Sueldos</t>
  </si>
  <si>
    <t>Cantidad Horas</t>
  </si>
  <si>
    <t>Cantididad</t>
  </si>
  <si>
    <t>Jefe de proyecto</t>
  </si>
  <si>
    <t>Analista QA</t>
  </si>
  <si>
    <t>Total Sueldo</t>
  </si>
  <si>
    <t>Computadores</t>
  </si>
  <si>
    <t>Total</t>
  </si>
  <si>
    <t>Periodo</t>
  </si>
  <si>
    <t>Meses</t>
  </si>
  <si>
    <t>Clientes</t>
  </si>
  <si>
    <t>Periodos</t>
  </si>
  <si>
    <t>Ingresos por clientes</t>
  </si>
  <si>
    <t>Tasa crecimiento clientes</t>
  </si>
  <si>
    <t>Ingresos</t>
  </si>
  <si>
    <t>Ingresos totales</t>
  </si>
  <si>
    <t>Egresos</t>
  </si>
  <si>
    <t>Costo</t>
  </si>
  <si>
    <t>Egresos Totales</t>
  </si>
  <si>
    <t>Flujo de Caja</t>
  </si>
  <si>
    <t>Cuota</t>
  </si>
  <si>
    <t>Impuesto</t>
  </si>
  <si>
    <t>Ingresos Totales</t>
  </si>
  <si>
    <t>Egresos totales</t>
  </si>
  <si>
    <t>UAI</t>
  </si>
  <si>
    <t>UDI</t>
  </si>
  <si>
    <t>VAN WACC</t>
  </si>
  <si>
    <t>TIR</t>
  </si>
  <si>
    <t>ROI</t>
  </si>
  <si>
    <t>PayBack</t>
  </si>
  <si>
    <t>Interpretaciones</t>
  </si>
  <si>
    <t>Dato %</t>
  </si>
  <si>
    <t>Item</t>
  </si>
  <si>
    <t>Van</t>
  </si>
  <si>
    <t>Tir</t>
  </si>
  <si>
    <t>Roi</t>
  </si>
  <si>
    <t>Conclusiones</t>
  </si>
  <si>
    <t>Gastos Fijos</t>
  </si>
  <si>
    <t>Gastos Variables</t>
  </si>
  <si>
    <t>App Ñamori</t>
  </si>
  <si>
    <t>Usuarios</t>
  </si>
  <si>
    <t>Valor por cliente (Suscripción)</t>
  </si>
  <si>
    <t>Servicios basicos</t>
  </si>
  <si>
    <t>Licencias</t>
  </si>
  <si>
    <t>Computadores equipo</t>
  </si>
  <si>
    <t>Pago Unico</t>
  </si>
  <si>
    <t>API Claude</t>
  </si>
  <si>
    <t>Trimestral</t>
  </si>
  <si>
    <t>Servicio en la nube</t>
  </si>
  <si>
    <t>Colaciones</t>
  </si>
  <si>
    <t>Movilización</t>
  </si>
  <si>
    <t>Servicios Basicos</t>
  </si>
  <si>
    <t>Api Claude</t>
  </si>
  <si>
    <t>Valor acumulado</t>
  </si>
  <si>
    <t>Calcular dias aprox</t>
  </si>
  <si>
    <t xml:space="preserve">Se puede concluir que la solución propuesta por nuestro equipo, con los valores otorgados, es ampliamente rentable en terminos monetarios, y se espera una subida en los usuarios premium por suscriptores </t>
  </si>
  <si>
    <t xml:space="preserve"> Ya que nuestro Van nos da positivo (Por Henry Cavill), nos demuestra que los flujos a futuros cubririan la inversion inicial, y es financieramente conveniente.</t>
  </si>
  <si>
    <t>Constructor o Desarrollador</t>
  </si>
  <si>
    <t>QA</t>
  </si>
  <si>
    <t>Tester</t>
  </si>
  <si>
    <t>TOTAL</t>
  </si>
  <si>
    <t>Item Fase 1</t>
  </si>
  <si>
    <t>Horas</t>
  </si>
  <si>
    <t>Valor Hora</t>
  </si>
  <si>
    <t>Gastos de luz</t>
  </si>
  <si>
    <t>Servicios de internet</t>
  </si>
  <si>
    <t>Desarrollador</t>
  </si>
  <si>
    <t xml:space="preserve">Movilización </t>
  </si>
  <si>
    <t>Ordenador Jonathan</t>
  </si>
  <si>
    <t>Ordenador Diego</t>
  </si>
  <si>
    <t>Ordenador Felipe</t>
  </si>
  <si>
    <t>Elementos Hardware</t>
  </si>
  <si>
    <t>Item Fase 2</t>
  </si>
  <si>
    <t>Movilizaciones</t>
  </si>
  <si>
    <t>Licencia Claude</t>
  </si>
  <si>
    <t>Item Fase 3</t>
  </si>
  <si>
    <t>Total Absoluto</t>
  </si>
  <si>
    <t>Total HH</t>
  </si>
  <si>
    <t>Sueldos por fase</t>
  </si>
  <si>
    <t>Fase</t>
  </si>
  <si>
    <t>9 meses y 25 días</t>
  </si>
  <si>
    <t xml:space="preserve">Tenemos un 21% de retorno por parte del software. </t>
  </si>
  <si>
    <t>El periodo de recuperación de la inversión es de 9 meses, y 25 días (para más detalles ir a la hoja "Flujo de caja", celda B71).</t>
  </si>
  <si>
    <t>Ya que la TIR es del 19,64%, nos indica que el proyecto genera rentabilidad interna del 19,64%, sobre el dinero invertido, adicionalmente este proyecto fue por inversión propia.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</si>
</sst>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8" formatCode="&quot;$&quot;#,##0.00;[Red]&quot;$&quot;\-#,##0.00"/>
    <numFmt numFmtId="42" formatCode="_ &quot;$&quot;* #,##0_ ;_ &quot;$&quot;* \-#,##0_ ;_ &quot;$&quot;* &quot;-&quot;_ ;_ @_ "/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999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5" xfId="0" applyBorder="1"/>
    <xf numFmtId="0" fontId="0" fillId="0" borderId="6" xfId="0" applyBorder="1"/>
    <xf numFmtId="42" fontId="0" fillId="0" borderId="5" xfId="1" applyFont="1" applyBorder="1"/>
    <xf numFmtId="0" fontId="0" fillId="0" borderId="15" xfId="0" applyBorder="1"/>
    <xf numFmtId="0" fontId="0" fillId="0" borderId="0" xfId="0" applyAlignment="1">
      <alignment horizontal="center" vertical="center" wrapText="1"/>
    </xf>
    <xf numFmtId="42" fontId="0" fillId="0" borderId="0" xfId="1" applyFont="1" applyAlignment="1">
      <alignment vertical="top" wrapText="1"/>
    </xf>
    <xf numFmtId="42" fontId="0" fillId="0" borderId="0" xfId="0" applyNumberFormat="1" applyAlignment="1">
      <alignment vertical="top" wrapText="1"/>
    </xf>
    <xf numFmtId="42" fontId="0" fillId="0" borderId="0" xfId="0" applyNumberFormat="1"/>
    <xf numFmtId="42" fontId="0" fillId="0" borderId="6" xfId="0" applyNumberFormat="1" applyBorder="1"/>
    <xf numFmtId="0" fontId="0" fillId="2" borderId="1" xfId="0" applyFill="1" applyBorder="1"/>
    <xf numFmtId="0" fontId="0" fillId="3" borderId="5" xfId="0" applyFill="1" applyBorder="1"/>
    <xf numFmtId="0" fontId="0" fillId="0" borderId="2" xfId="0" applyBorder="1"/>
    <xf numFmtId="9" fontId="0" fillId="0" borderId="5" xfId="0" applyNumberFormat="1" applyBorder="1"/>
    <xf numFmtId="0" fontId="0" fillId="0" borderId="8" xfId="0" applyBorder="1"/>
    <xf numFmtId="0" fontId="0" fillId="0" borderId="11" xfId="0" applyBorder="1"/>
    <xf numFmtId="0" fontId="0" fillId="0" borderId="14" xfId="0" applyBorder="1"/>
    <xf numFmtId="0" fontId="0" fillId="2" borderId="15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9" xfId="0" applyBorder="1"/>
    <xf numFmtId="42" fontId="0" fillId="5" borderId="0" xfId="0" applyNumberFormat="1" applyFill="1"/>
    <xf numFmtId="0" fontId="0" fillId="5" borderId="3" xfId="0" applyFill="1" applyBorder="1"/>
    <xf numFmtId="42" fontId="0" fillId="0" borderId="8" xfId="0" applyNumberFormat="1" applyBorder="1"/>
    <xf numFmtId="42" fontId="0" fillId="0" borderId="10" xfId="0" applyNumberFormat="1" applyBorder="1"/>
    <xf numFmtId="42" fontId="0" fillId="0" borderId="11" xfId="0" applyNumberFormat="1" applyBorder="1"/>
    <xf numFmtId="42" fontId="0" fillId="0" borderId="14" xfId="1" applyFont="1" applyBorder="1"/>
    <xf numFmtId="9" fontId="0" fillId="0" borderId="11" xfId="0" applyNumberFormat="1" applyBorder="1"/>
    <xf numFmtId="0" fontId="0" fillId="6" borderId="0" xfId="0" applyFill="1"/>
    <xf numFmtId="0" fontId="0" fillId="2" borderId="3" xfId="0" applyFill="1" applyBorder="1"/>
    <xf numFmtId="0" fontId="0" fillId="2" borderId="4" xfId="0" applyFill="1" applyBorder="1"/>
    <xf numFmtId="0" fontId="0" fillId="0" borderId="13" xfId="0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2" borderId="2" xfId="0" applyFill="1" applyBorder="1"/>
    <xf numFmtId="0" fontId="0" fillId="7" borderId="1" xfId="0" applyFill="1" applyBorder="1"/>
    <xf numFmtId="42" fontId="0" fillId="7" borderId="3" xfId="0" applyNumberFormat="1" applyFill="1" applyBorder="1"/>
    <xf numFmtId="42" fontId="0" fillId="7" borderId="4" xfId="0" applyNumberFormat="1" applyFill="1" applyBorder="1"/>
    <xf numFmtId="42" fontId="0" fillId="2" borderId="3" xfId="0" applyNumberFormat="1" applyFill="1" applyBorder="1"/>
    <xf numFmtId="42" fontId="0" fillId="2" borderId="4" xfId="0" applyNumberFormat="1" applyFill="1" applyBorder="1"/>
    <xf numFmtId="42" fontId="0" fillId="0" borderId="15" xfId="1" applyFont="1" applyBorder="1"/>
    <xf numFmtId="6" fontId="0" fillId="0" borderId="0" xfId="0" applyNumberFormat="1"/>
    <xf numFmtId="0" fontId="0" fillId="5" borderId="4" xfId="0" applyFill="1" applyBorder="1"/>
    <xf numFmtId="0" fontId="0" fillId="5" borderId="1" xfId="0" applyFill="1" applyBorder="1"/>
    <xf numFmtId="6" fontId="0" fillId="0" borderId="8" xfId="0" applyNumberFormat="1" applyBorder="1"/>
    <xf numFmtId="9" fontId="0" fillId="0" borderId="5" xfId="2" applyFont="1" applyBorder="1"/>
    <xf numFmtId="10" fontId="0" fillId="0" borderId="5" xfId="0" applyNumberFormat="1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5" xfId="0" applyFont="1" applyBorder="1"/>
    <xf numFmtId="0" fontId="3" fillId="0" borderId="6" xfId="0" applyFont="1" applyBorder="1"/>
    <xf numFmtId="8" fontId="3" fillId="0" borderId="5" xfId="0" applyNumberFormat="1" applyFont="1" applyBorder="1"/>
    <xf numFmtId="10" fontId="3" fillId="0" borderId="5" xfId="0" applyNumberFormat="1" applyFont="1" applyBorder="1"/>
    <xf numFmtId="9" fontId="3" fillId="0" borderId="6" xfId="0" applyNumberFormat="1" applyFont="1" applyBorder="1"/>
    <xf numFmtId="0" fontId="3" fillId="2" borderId="15" xfId="0" applyFont="1" applyFill="1" applyBorder="1"/>
    <xf numFmtId="0" fontId="0" fillId="0" borderId="16" xfId="0" applyBorder="1"/>
    <xf numFmtId="0" fontId="0" fillId="8" borderId="17" xfId="0" applyFill="1" applyBorder="1"/>
    <xf numFmtId="0" fontId="0" fillId="0" borderId="18" xfId="0" applyBorder="1"/>
    <xf numFmtId="0" fontId="0" fillId="9" borderId="19" xfId="0" applyFill="1" applyBorder="1"/>
    <xf numFmtId="0" fontId="0" fillId="4" borderId="3" xfId="0" applyFill="1" applyBorder="1"/>
    <xf numFmtId="42" fontId="0" fillId="4" borderId="10" xfId="0" applyNumberFormat="1" applyFill="1" applyBorder="1"/>
    <xf numFmtId="42" fontId="0" fillId="4" borderId="11" xfId="0" applyNumberFormat="1" applyFill="1" applyBorder="1"/>
    <xf numFmtId="1" fontId="0" fillId="4" borderId="26" xfId="0" applyNumberFormat="1" applyFill="1" applyBorder="1"/>
    <xf numFmtId="1" fontId="0" fillId="4" borderId="27" xfId="0" applyNumberFormat="1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42" fontId="0" fillId="4" borderId="33" xfId="0" applyNumberFormat="1" applyFill="1" applyBorder="1"/>
    <xf numFmtId="9" fontId="0" fillId="0" borderId="0" xfId="0" applyNumberFormat="1"/>
    <xf numFmtId="0" fontId="0" fillId="4" borderId="0" xfId="0" applyFill="1"/>
    <xf numFmtId="0" fontId="0" fillId="4" borderId="0" xfId="0" applyFill="1" applyAlignment="1">
      <alignment horizontal="center"/>
    </xf>
    <xf numFmtId="0" fontId="0" fillId="10" borderId="5" xfId="0" applyFill="1" applyBorder="1"/>
    <xf numFmtId="0" fontId="0" fillId="11" borderId="5" xfId="0" applyFill="1" applyBorder="1"/>
    <xf numFmtId="42" fontId="0" fillId="0" borderId="13" xfId="0" applyNumberFormat="1" applyBorder="1"/>
    <xf numFmtId="42" fontId="0" fillId="0" borderId="14" xfId="0" applyNumberFormat="1" applyBorder="1"/>
    <xf numFmtId="0" fontId="0" fillId="0" borderId="12" xfId="0" applyBorder="1"/>
    <xf numFmtId="42" fontId="0" fillId="0" borderId="12" xfId="1" applyFont="1" applyBorder="1"/>
    <xf numFmtId="42" fontId="0" fillId="0" borderId="7" xfId="1" applyFont="1" applyBorder="1"/>
    <xf numFmtId="42" fontId="0" fillId="0" borderId="9" xfId="1" applyFont="1" applyBorder="1"/>
    <xf numFmtId="42" fontId="0" fillId="0" borderId="0" xfId="1" applyFont="1" applyFill="1" applyBorder="1"/>
    <xf numFmtId="42" fontId="0" fillId="5" borderId="8" xfId="0" applyNumberFormat="1" applyFill="1" applyBorder="1"/>
    <xf numFmtId="42" fontId="2" fillId="5" borderId="2" xfId="1" applyFont="1" applyFill="1" applyBorder="1"/>
    <xf numFmtId="42" fontId="2" fillId="5" borderId="3" xfId="0" applyNumberFormat="1" applyFont="1" applyFill="1" applyBorder="1"/>
    <xf numFmtId="42" fontId="0" fillId="5" borderId="3" xfId="0" applyNumberFormat="1" applyFill="1" applyBorder="1"/>
    <xf numFmtId="164" fontId="0" fillId="0" borderId="4" xfId="0" applyNumberFormat="1" applyBorder="1"/>
    <xf numFmtId="0" fontId="0" fillId="0" borderId="1" xfId="0" applyBorder="1"/>
    <xf numFmtId="42" fontId="0" fillId="0" borderId="3" xfId="1" applyFont="1" applyBorder="1"/>
    <xf numFmtId="2" fontId="0" fillId="0" borderId="4" xfId="0" applyNumberFormat="1" applyBorder="1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2" fontId="0" fillId="0" borderId="34" xfId="1" applyFont="1" applyBorder="1"/>
    <xf numFmtId="0" fontId="0" fillId="0" borderId="21" xfId="0" applyBorder="1"/>
    <xf numFmtId="42" fontId="0" fillId="0" borderId="17" xfId="1" applyFont="1" applyBorder="1"/>
    <xf numFmtId="0" fontId="0" fillId="0" borderId="22" xfId="0" applyBorder="1"/>
    <xf numFmtId="42" fontId="0" fillId="0" borderId="35" xfId="1" applyFont="1" applyBorder="1"/>
    <xf numFmtId="0" fontId="0" fillId="0" borderId="20" xfId="0" applyBorder="1"/>
    <xf numFmtId="42" fontId="0" fillId="0" borderId="23" xfId="1" applyFont="1" applyBorder="1"/>
    <xf numFmtId="0" fontId="0" fillId="0" borderId="36" xfId="0" applyBorder="1"/>
    <xf numFmtId="42" fontId="0" fillId="0" borderId="37" xfId="1" applyFont="1" applyBorder="1"/>
    <xf numFmtId="0" fontId="0" fillId="2" borderId="38" xfId="0" applyFill="1" applyBorder="1"/>
    <xf numFmtId="42" fontId="0" fillId="2" borderId="39" xfId="1" applyFont="1" applyFill="1" applyBorder="1"/>
    <xf numFmtId="0" fontId="0" fillId="2" borderId="33" xfId="0" applyFill="1" applyBorder="1"/>
    <xf numFmtId="0" fontId="0" fillId="2" borderId="19" xfId="0" applyFill="1" applyBorder="1"/>
    <xf numFmtId="0" fontId="0" fillId="2" borderId="40" xfId="0" applyFill="1" applyBorder="1"/>
    <xf numFmtId="42" fontId="0" fillId="2" borderId="41" xfId="0" applyNumberFormat="1" applyFill="1" applyBorder="1"/>
    <xf numFmtId="0" fontId="0" fillId="0" borderId="1" xfId="0" applyBorder="1" applyAlignment="1">
      <alignment horizontal="center" vertical="top" wrapText="1"/>
    </xf>
    <xf numFmtId="42" fontId="0" fillId="0" borderId="20" xfId="1" applyFont="1" applyBorder="1" applyAlignment="1">
      <alignment vertical="top" wrapText="1"/>
    </xf>
    <xf numFmtId="42" fontId="0" fillId="0" borderId="23" xfId="0" applyNumberFormat="1" applyBorder="1" applyAlignment="1">
      <alignment vertical="top" wrapText="1"/>
    </xf>
    <xf numFmtId="42" fontId="0" fillId="0" borderId="19" xfId="0" applyNumberFormat="1" applyBorder="1" applyAlignment="1">
      <alignment vertical="top" wrapText="1"/>
    </xf>
    <xf numFmtId="0" fontId="0" fillId="2" borderId="16" xfId="0" applyFill="1" applyBorder="1" applyAlignment="1">
      <alignment horizontal="center" vertical="top" wrapText="1"/>
    </xf>
    <xf numFmtId="0" fontId="0" fillId="2" borderId="22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1" xfId="0" applyFill="1" applyBorder="1"/>
    <xf numFmtId="0" fontId="0" fillId="2" borderId="17" xfId="0" applyFill="1" applyBorder="1"/>
    <xf numFmtId="42" fontId="0" fillId="0" borderId="17" xfId="0" applyNumberFormat="1" applyBorder="1"/>
    <xf numFmtId="42" fontId="0" fillId="0" borderId="23" xfId="0" applyNumberFormat="1" applyBorder="1"/>
    <xf numFmtId="0" fontId="0" fillId="0" borderId="23" xfId="0" applyBorder="1"/>
    <xf numFmtId="42" fontId="0" fillId="0" borderId="19" xfId="0" applyNumberFormat="1" applyBorder="1"/>
    <xf numFmtId="0" fontId="0" fillId="2" borderId="16" xfId="0" applyFill="1" applyBorder="1"/>
    <xf numFmtId="0" fontId="0" fillId="2" borderId="22" xfId="0" applyFill="1" applyBorder="1"/>
    <xf numFmtId="0" fontId="0" fillId="2" borderId="18" xfId="0" applyFill="1" applyBorder="1"/>
    <xf numFmtId="0" fontId="0" fillId="0" borderId="24" xfId="1" applyNumberFormat="1" applyFont="1" applyBorder="1" applyAlignment="1">
      <alignment vertical="top" wrapText="1"/>
    </xf>
    <xf numFmtId="42" fontId="0" fillId="12" borderId="4" xfId="0" applyNumberFormat="1" applyFill="1" applyBorder="1"/>
    <xf numFmtId="42" fontId="0" fillId="12" borderId="1" xfId="0" applyNumberFormat="1" applyFill="1" applyBorder="1"/>
    <xf numFmtId="6" fontId="0" fillId="0" borderId="5" xfId="0" applyNumberFormat="1" applyBorder="1"/>
    <xf numFmtId="42" fontId="0" fillId="5" borderId="4" xfId="0" applyNumberFormat="1" applyFill="1" applyBorder="1"/>
    <xf numFmtId="42" fontId="0" fillId="12" borderId="2" xfId="0" applyNumberFormat="1" applyFill="1" applyBorder="1"/>
    <xf numFmtId="42" fontId="0" fillId="5" borderId="1" xfId="0" applyNumberFormat="1" applyFill="1" applyBorder="1"/>
    <xf numFmtId="42" fontId="2" fillId="5" borderId="1" xfId="0" applyNumberFormat="1" applyFont="1" applyFill="1" applyBorder="1"/>
    <xf numFmtId="0" fontId="0" fillId="13" borderId="5" xfId="0" applyFill="1" applyBorder="1"/>
    <xf numFmtId="0" fontId="0" fillId="0" borderId="0" xfId="0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/>
    </xf>
    <xf numFmtId="0" fontId="0" fillId="5" borderId="12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99"/>
      <color rgb="FFF9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921A-6ACA-4400-8B5F-68DD7D6F49BB}">
  <dimension ref="B1:P44"/>
  <sheetViews>
    <sheetView tabSelected="1" topLeftCell="A6" zoomScale="85" zoomScaleNormal="85" workbookViewId="0">
      <selection activeCell="T20" sqref="T20"/>
    </sheetView>
  </sheetViews>
  <sheetFormatPr baseColWidth="10" defaultRowHeight="15" x14ac:dyDescent="0.25"/>
  <cols>
    <col min="3" max="3" width="15.7109375" customWidth="1"/>
    <col min="4" max="4" width="13" customWidth="1"/>
    <col min="5" max="5" width="13.140625" customWidth="1"/>
    <col min="9" max="9" width="20" customWidth="1"/>
    <col min="10" max="10" width="13.28515625" customWidth="1"/>
    <col min="11" max="11" width="19.5703125" customWidth="1"/>
    <col min="12" max="12" width="15" customWidth="1"/>
    <col min="13" max="13" width="11.5703125" customWidth="1"/>
    <col min="14" max="14" width="14.5703125" customWidth="1"/>
  </cols>
  <sheetData>
    <row r="1" spans="2:14" x14ac:dyDescent="0.25">
      <c r="B1" s="1"/>
      <c r="C1" s="1"/>
      <c r="D1" s="1"/>
      <c r="E1" s="1"/>
      <c r="F1" s="1"/>
      <c r="G1" s="1"/>
    </row>
    <row r="2" spans="2:14" ht="15.75" thickBot="1" x14ac:dyDescent="0.3"/>
    <row r="3" spans="2:14" ht="15.75" thickBot="1" x14ac:dyDescent="0.3">
      <c r="C3" s="95" t="s">
        <v>70</v>
      </c>
      <c r="D3" s="96" t="s">
        <v>26</v>
      </c>
      <c r="E3" s="97" t="s">
        <v>71</v>
      </c>
      <c r="F3" s="96" t="s">
        <v>72</v>
      </c>
    </row>
    <row r="4" spans="2:14" x14ac:dyDescent="0.25">
      <c r="C4" s="61" t="s">
        <v>73</v>
      </c>
      <c r="D4" s="98">
        <v>180000</v>
      </c>
      <c r="E4" s="99"/>
      <c r="F4" s="100"/>
    </row>
    <row r="5" spans="2:14" x14ac:dyDescent="0.25">
      <c r="C5" s="101" t="s">
        <v>74</v>
      </c>
      <c r="D5" s="102">
        <v>120000</v>
      </c>
      <c r="E5" s="103"/>
      <c r="F5" s="104"/>
    </row>
    <row r="6" spans="2:14" x14ac:dyDescent="0.25">
      <c r="C6" s="101" t="s">
        <v>12</v>
      </c>
      <c r="D6" s="102">
        <f>E6*F6</f>
        <v>750000</v>
      </c>
      <c r="E6" s="103">
        <v>50</v>
      </c>
      <c r="F6" s="104">
        <v>15000</v>
      </c>
    </row>
    <row r="7" spans="2:14" x14ac:dyDescent="0.25">
      <c r="C7" s="101" t="s">
        <v>75</v>
      </c>
      <c r="D7" s="102">
        <f>E7*F7</f>
        <v>160000</v>
      </c>
      <c r="E7" s="103">
        <v>20</v>
      </c>
      <c r="F7" s="104">
        <v>8000</v>
      </c>
    </row>
    <row r="8" spans="2:14" x14ac:dyDescent="0.25">
      <c r="C8" s="101" t="s">
        <v>13</v>
      </c>
      <c r="D8" s="102">
        <f>E8*F8</f>
        <v>180000</v>
      </c>
      <c r="E8" s="103">
        <v>20</v>
      </c>
      <c r="F8" s="104">
        <v>9000</v>
      </c>
    </row>
    <row r="9" spans="2:14" x14ac:dyDescent="0.25">
      <c r="C9" s="101" t="s">
        <v>76</v>
      </c>
      <c r="D9" s="102">
        <v>80500</v>
      </c>
      <c r="E9" s="103"/>
      <c r="F9" s="104"/>
    </row>
    <row r="10" spans="2:14" x14ac:dyDescent="0.25">
      <c r="C10" s="101" t="s">
        <v>58</v>
      </c>
      <c r="D10" s="102">
        <v>20000</v>
      </c>
      <c r="E10" s="103"/>
      <c r="F10" s="104"/>
    </row>
    <row r="11" spans="2:14" ht="15.75" thickBot="1" x14ac:dyDescent="0.3">
      <c r="C11" s="101" t="s">
        <v>77</v>
      </c>
      <c r="D11" s="102">
        <v>1800000</v>
      </c>
      <c r="E11" s="103"/>
      <c r="F11" s="104"/>
    </row>
    <row r="12" spans="2:14" x14ac:dyDescent="0.25">
      <c r="C12" s="101" t="s">
        <v>78</v>
      </c>
      <c r="D12" s="102">
        <v>2500000</v>
      </c>
      <c r="E12" s="103"/>
      <c r="F12" s="104"/>
      <c r="I12" s="126" t="s">
        <v>9</v>
      </c>
      <c r="J12" s="122">
        <f>SUM(D6:D8,D20:D21,D23:D24,D34:D37)</f>
        <v>5745000</v>
      </c>
      <c r="M12" s="126" t="s">
        <v>88</v>
      </c>
      <c r="N12" s="121" t="s">
        <v>87</v>
      </c>
    </row>
    <row r="13" spans="2:14" ht="15.75" thickBot="1" x14ac:dyDescent="0.3">
      <c r="C13" s="105" t="s">
        <v>79</v>
      </c>
      <c r="D13" s="106">
        <v>1500000</v>
      </c>
      <c r="E13" s="103"/>
      <c r="F13" s="104"/>
      <c r="I13" s="127" t="s">
        <v>51</v>
      </c>
      <c r="J13" s="123">
        <f>SUM(D4:D5,D18:D19,D32:D33)</f>
        <v>1200000</v>
      </c>
      <c r="M13" s="101">
        <v>1</v>
      </c>
      <c r="N13" s="123">
        <f>SUM(D6:D8)</f>
        <v>1090000</v>
      </c>
    </row>
    <row r="14" spans="2:14" ht="15.75" thickBot="1" x14ac:dyDescent="0.3">
      <c r="C14" s="107" t="s">
        <v>16</v>
      </c>
      <c r="D14" s="108">
        <f>SUM(D4:D13)</f>
        <v>7290500</v>
      </c>
      <c r="E14" s="109"/>
      <c r="F14" s="110"/>
      <c r="I14" s="127" t="s">
        <v>80</v>
      </c>
      <c r="J14" s="123">
        <f>SUM(D11:D13)</f>
        <v>5800000</v>
      </c>
      <c r="M14" s="101">
        <v>2</v>
      </c>
      <c r="N14" s="123">
        <f>SUM(D20:D21,D23:D24)</f>
        <v>3770000</v>
      </c>
    </row>
    <row r="15" spans="2:14" x14ac:dyDescent="0.25">
      <c r="I15" s="127" t="s">
        <v>52</v>
      </c>
      <c r="J15" s="123">
        <f>SUM(D26,D22)</f>
        <v>220000</v>
      </c>
      <c r="M15" s="101">
        <v>3</v>
      </c>
      <c r="N15" s="123">
        <f>SUM(D34:D37)</f>
        <v>885000</v>
      </c>
    </row>
    <row r="16" spans="2:14" ht="15.75" thickBot="1" x14ac:dyDescent="0.3">
      <c r="I16" s="127" t="s">
        <v>58</v>
      </c>
      <c r="J16" s="123">
        <f>SUM(D10,D27,D39)</f>
        <v>80000</v>
      </c>
      <c r="M16" s="128" t="s">
        <v>16</v>
      </c>
      <c r="N16" s="125">
        <f>SUM(N13:N15)</f>
        <v>5745000</v>
      </c>
    </row>
    <row r="17" spans="3:16" ht="15.75" thickBot="1" x14ac:dyDescent="0.3">
      <c r="C17" s="95" t="s">
        <v>81</v>
      </c>
      <c r="D17" s="96" t="s">
        <v>26</v>
      </c>
      <c r="E17" s="97" t="s">
        <v>71</v>
      </c>
      <c r="F17" s="96" t="s">
        <v>72</v>
      </c>
      <c r="I17" s="127" t="s">
        <v>82</v>
      </c>
      <c r="J17" s="123">
        <f>SUM(D9,D25,D38)</f>
        <v>322000</v>
      </c>
    </row>
    <row r="18" spans="3:16" x14ac:dyDescent="0.25">
      <c r="C18" s="61" t="s">
        <v>73</v>
      </c>
      <c r="D18" s="98">
        <v>360000</v>
      </c>
      <c r="E18" s="99"/>
      <c r="F18" s="100"/>
      <c r="I18" s="127"/>
      <c r="J18" s="124"/>
    </row>
    <row r="19" spans="3:16" ht="15.75" thickBot="1" x14ac:dyDescent="0.3">
      <c r="C19" s="101" t="s">
        <v>74</v>
      </c>
      <c r="D19" s="102">
        <v>240000</v>
      </c>
      <c r="E19" s="103"/>
      <c r="F19" s="104"/>
      <c r="I19" s="128" t="s">
        <v>16</v>
      </c>
      <c r="J19" s="125">
        <f>SUM(J12:J17)</f>
        <v>13367000</v>
      </c>
    </row>
    <row r="20" spans="3:16" x14ac:dyDescent="0.25">
      <c r="C20" s="101" t="s">
        <v>12</v>
      </c>
      <c r="D20" s="102">
        <f>E20*F20</f>
        <v>750000</v>
      </c>
      <c r="E20" s="103">
        <v>50</v>
      </c>
      <c r="F20" s="104">
        <v>15000</v>
      </c>
    </row>
    <row r="21" spans="3:16" x14ac:dyDescent="0.25">
      <c r="C21" s="101" t="s">
        <v>75</v>
      </c>
      <c r="D21" s="102">
        <f>E21*F21</f>
        <v>2000000</v>
      </c>
      <c r="E21" s="103">
        <v>250</v>
      </c>
      <c r="F21" s="104">
        <v>8000</v>
      </c>
    </row>
    <row r="22" spans="3:16" x14ac:dyDescent="0.25">
      <c r="C22" s="101" t="s">
        <v>57</v>
      </c>
      <c r="D22" s="102">
        <v>160000</v>
      </c>
      <c r="E22" s="103"/>
      <c r="F22" s="104"/>
    </row>
    <row r="23" spans="3:16" ht="15.75" thickBot="1" x14ac:dyDescent="0.3">
      <c r="C23" s="101" t="s">
        <v>13</v>
      </c>
      <c r="D23" s="102">
        <f>E23*F23</f>
        <v>900000</v>
      </c>
      <c r="E23" s="103">
        <v>100</v>
      </c>
      <c r="F23" s="104">
        <v>9000</v>
      </c>
      <c r="I23" s="2"/>
      <c r="J23" s="2"/>
      <c r="K23" s="2"/>
      <c r="L23" s="2"/>
      <c r="M23" s="2"/>
      <c r="N23" s="2"/>
      <c r="O23" s="2"/>
      <c r="P23" s="2"/>
    </row>
    <row r="24" spans="3:16" ht="15.75" thickBot="1" x14ac:dyDescent="0.3">
      <c r="C24" s="101" t="s">
        <v>68</v>
      </c>
      <c r="D24" s="102">
        <f>E24*F24</f>
        <v>120000</v>
      </c>
      <c r="E24" s="103">
        <v>20</v>
      </c>
      <c r="F24" s="104">
        <v>6000</v>
      </c>
      <c r="I24" s="113" t="s">
        <v>9</v>
      </c>
      <c r="J24" s="2"/>
      <c r="K24" s="2"/>
      <c r="L24" s="2"/>
      <c r="M24" s="2"/>
      <c r="N24" s="2"/>
      <c r="O24" s="2"/>
      <c r="P24" s="2"/>
    </row>
    <row r="25" spans="3:16" ht="15.75" thickBot="1" x14ac:dyDescent="0.3">
      <c r="C25" s="101" t="s">
        <v>76</v>
      </c>
      <c r="D25" s="102">
        <v>161000</v>
      </c>
      <c r="E25" s="103"/>
      <c r="F25" s="104"/>
      <c r="I25" s="2"/>
      <c r="J25" s="138"/>
      <c r="K25" s="138"/>
      <c r="L25" s="138"/>
      <c r="M25" s="138"/>
      <c r="N25" s="138"/>
      <c r="O25" s="138"/>
      <c r="P25" s="138"/>
    </row>
    <row r="26" spans="3:16" x14ac:dyDescent="0.25">
      <c r="C26" s="101" t="s">
        <v>83</v>
      </c>
      <c r="D26" s="102">
        <v>60000</v>
      </c>
      <c r="E26" s="103" t="s">
        <v>56</v>
      </c>
      <c r="F26" s="104"/>
      <c r="I26" s="117" t="s">
        <v>11</v>
      </c>
      <c r="J26" s="141" t="s">
        <v>0</v>
      </c>
      <c r="K26" s="141"/>
      <c r="L26" s="141"/>
      <c r="M26" s="120" t="s">
        <v>1</v>
      </c>
      <c r="N26" s="142" t="s">
        <v>10</v>
      </c>
      <c r="O26" s="142"/>
      <c r="P26" s="121" t="s">
        <v>14</v>
      </c>
    </row>
    <row r="27" spans="3:16" ht="15.75" thickBot="1" x14ac:dyDescent="0.3">
      <c r="C27" s="105" t="s">
        <v>58</v>
      </c>
      <c r="D27" s="106">
        <v>40000</v>
      </c>
      <c r="E27" s="103"/>
      <c r="F27" s="104"/>
      <c r="I27" s="118">
        <v>1</v>
      </c>
      <c r="J27" s="140" t="s">
        <v>12</v>
      </c>
      <c r="K27" s="140"/>
      <c r="L27" s="140"/>
      <c r="M27" s="114">
        <v>15000</v>
      </c>
      <c r="N27" s="140">
        <v>130</v>
      </c>
      <c r="O27" s="140"/>
      <c r="P27" s="115">
        <f>M27*N27</f>
        <v>1950000</v>
      </c>
    </row>
    <row r="28" spans="3:16" ht="15.75" thickBot="1" x14ac:dyDescent="0.3">
      <c r="C28" s="107" t="s">
        <v>16</v>
      </c>
      <c r="D28" s="108">
        <f>SUM(D18:D27)</f>
        <v>4791000</v>
      </c>
      <c r="E28" s="109"/>
      <c r="F28" s="110"/>
      <c r="I28" s="118">
        <v>1</v>
      </c>
      <c r="J28" s="140" t="s">
        <v>66</v>
      </c>
      <c r="K28" s="140"/>
      <c r="L28" s="140"/>
      <c r="M28" s="114">
        <v>8000</v>
      </c>
      <c r="N28" s="140">
        <v>285</v>
      </c>
      <c r="O28" s="140"/>
      <c r="P28" s="115">
        <f t="shared" ref="P28:P30" si="0">M28*N28</f>
        <v>2280000</v>
      </c>
    </row>
    <row r="29" spans="3:16" x14ac:dyDescent="0.25">
      <c r="I29" s="118">
        <v>1</v>
      </c>
      <c r="J29" s="140" t="s">
        <v>67</v>
      </c>
      <c r="K29" s="140"/>
      <c r="L29" s="140"/>
      <c r="M29" s="114">
        <v>9000</v>
      </c>
      <c r="N29" s="140">
        <v>135</v>
      </c>
      <c r="O29" s="140"/>
      <c r="P29" s="115">
        <f t="shared" si="0"/>
        <v>1215000</v>
      </c>
    </row>
    <row r="30" spans="3:16" ht="15.75" thickBot="1" x14ac:dyDescent="0.3">
      <c r="I30" s="118">
        <v>1</v>
      </c>
      <c r="J30" s="140" t="s">
        <v>68</v>
      </c>
      <c r="K30" s="140"/>
      <c r="L30" s="140"/>
      <c r="M30" s="114">
        <v>6000</v>
      </c>
      <c r="N30" s="140">
        <v>50</v>
      </c>
      <c r="O30" s="140"/>
      <c r="P30" s="115">
        <f t="shared" si="0"/>
        <v>300000</v>
      </c>
    </row>
    <row r="31" spans="3:16" ht="15.75" thickBot="1" x14ac:dyDescent="0.3">
      <c r="C31" s="95" t="s">
        <v>84</v>
      </c>
      <c r="D31" s="96" t="s">
        <v>26</v>
      </c>
      <c r="E31" s="97" t="s">
        <v>71</v>
      </c>
      <c r="F31" s="96" t="s">
        <v>72</v>
      </c>
      <c r="I31" s="118"/>
      <c r="J31" s="140"/>
      <c r="K31" s="140"/>
      <c r="L31" s="140"/>
      <c r="M31" s="114"/>
      <c r="N31" s="140"/>
      <c r="O31" s="140"/>
      <c r="P31" s="115"/>
    </row>
    <row r="32" spans="3:16" ht="15.75" thickBot="1" x14ac:dyDescent="0.3">
      <c r="C32" s="61" t="s">
        <v>73</v>
      </c>
      <c r="D32" s="98">
        <v>180000</v>
      </c>
      <c r="E32" s="99"/>
      <c r="F32" s="100"/>
      <c r="I32" s="119"/>
      <c r="J32" s="139" t="s">
        <v>86</v>
      </c>
      <c r="K32" s="139"/>
      <c r="L32" s="139"/>
      <c r="M32" s="129">
        <f>SUM(N27:O30)</f>
        <v>600</v>
      </c>
      <c r="N32" s="139" t="s">
        <v>69</v>
      </c>
      <c r="O32" s="139"/>
      <c r="P32" s="116">
        <f>SUM(P27:P30)</f>
        <v>5745000</v>
      </c>
    </row>
    <row r="33" spans="3:16" x14ac:dyDescent="0.25">
      <c r="C33" s="101" t="s">
        <v>74</v>
      </c>
      <c r="D33" s="102">
        <v>120000</v>
      </c>
      <c r="E33" s="103"/>
      <c r="F33" s="104"/>
      <c r="I33" s="7"/>
      <c r="J33" s="138"/>
      <c r="K33" s="138"/>
      <c r="L33" s="138"/>
      <c r="M33" s="8"/>
      <c r="N33" s="138"/>
      <c r="O33" s="138"/>
      <c r="P33" s="9"/>
    </row>
    <row r="34" spans="3:16" x14ac:dyDescent="0.25">
      <c r="C34" s="101" t="s">
        <v>12</v>
      </c>
      <c r="D34" s="102">
        <f>E34*F34</f>
        <v>450000</v>
      </c>
      <c r="E34" s="103">
        <v>30</v>
      </c>
      <c r="F34" s="104">
        <v>15000</v>
      </c>
    </row>
    <row r="35" spans="3:16" x14ac:dyDescent="0.25">
      <c r="C35" s="101" t="s">
        <v>75</v>
      </c>
      <c r="D35" s="102">
        <f>E35*F35</f>
        <v>120000</v>
      </c>
      <c r="E35" s="103">
        <v>15</v>
      </c>
      <c r="F35" s="104">
        <v>8000</v>
      </c>
    </row>
    <row r="36" spans="3:16" x14ac:dyDescent="0.25">
      <c r="C36" s="101" t="s">
        <v>68</v>
      </c>
      <c r="D36" s="102">
        <f>E36*F36</f>
        <v>180000</v>
      </c>
      <c r="E36" s="103">
        <v>30</v>
      </c>
      <c r="F36" s="104">
        <v>6000</v>
      </c>
    </row>
    <row r="37" spans="3:16" x14ac:dyDescent="0.25">
      <c r="C37" s="101" t="s">
        <v>13</v>
      </c>
      <c r="D37" s="102">
        <f>E37*F37</f>
        <v>135000</v>
      </c>
      <c r="E37" s="103">
        <v>15</v>
      </c>
      <c r="F37" s="104">
        <v>9000</v>
      </c>
    </row>
    <row r="38" spans="3:16" x14ac:dyDescent="0.25">
      <c r="C38" s="101" t="s">
        <v>76</v>
      </c>
      <c r="D38" s="102">
        <v>80500</v>
      </c>
      <c r="E38" s="103"/>
      <c r="F38" s="104"/>
    </row>
    <row r="39" spans="3:16" ht="15.75" thickBot="1" x14ac:dyDescent="0.3">
      <c r="C39" s="105" t="s">
        <v>58</v>
      </c>
      <c r="D39" s="106">
        <v>20000</v>
      </c>
      <c r="E39" s="103"/>
      <c r="F39" s="104"/>
    </row>
    <row r="40" spans="3:16" ht="15.75" thickBot="1" x14ac:dyDescent="0.3">
      <c r="C40" s="107" t="s">
        <v>16</v>
      </c>
      <c r="D40" s="108">
        <f>SUM(D32:D39)</f>
        <v>1285500</v>
      </c>
      <c r="E40" s="109"/>
      <c r="F40" s="110"/>
    </row>
    <row r="43" spans="3:16" ht="15.75" thickBot="1" x14ac:dyDescent="0.3"/>
    <row r="44" spans="3:16" ht="15.75" thickBot="1" x14ac:dyDescent="0.3">
      <c r="C44" s="111" t="s">
        <v>85</v>
      </c>
      <c r="D44" s="112">
        <f>SUM(D40+D28+D14)</f>
        <v>13367000</v>
      </c>
    </row>
  </sheetData>
  <mergeCells count="18">
    <mergeCell ref="J30:L30"/>
    <mergeCell ref="M25:P25"/>
    <mergeCell ref="J29:L29"/>
    <mergeCell ref="J28:L28"/>
    <mergeCell ref="J27:L27"/>
    <mergeCell ref="N27:O27"/>
    <mergeCell ref="N30:O30"/>
    <mergeCell ref="J26:L26"/>
    <mergeCell ref="N26:O26"/>
    <mergeCell ref="J25:L25"/>
    <mergeCell ref="N29:O29"/>
    <mergeCell ref="N28:O28"/>
    <mergeCell ref="N33:O33"/>
    <mergeCell ref="N32:O32"/>
    <mergeCell ref="N31:O31"/>
    <mergeCell ref="J33:L33"/>
    <mergeCell ref="J32:L32"/>
    <mergeCell ref="J31:L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42E4-D847-44B5-9CF7-16FE6C886E0E}">
  <dimension ref="A1:W73"/>
  <sheetViews>
    <sheetView topLeftCell="A38" workbookViewId="0">
      <selection activeCell="E70" sqref="E70"/>
    </sheetView>
  </sheetViews>
  <sheetFormatPr baseColWidth="10" defaultRowHeight="15" x14ac:dyDescent="0.25"/>
  <cols>
    <col min="2" max="2" width="23.140625" customWidth="1"/>
    <col min="3" max="3" width="18.140625" customWidth="1"/>
    <col min="4" max="4" width="15.28515625" customWidth="1"/>
    <col min="5" max="5" width="14.42578125" customWidth="1"/>
    <col min="6" max="6" width="16" customWidth="1"/>
    <col min="7" max="7" width="16.42578125" customWidth="1"/>
    <col min="8" max="8" width="12.7109375" customWidth="1"/>
    <col min="9" max="9" width="13.140625" customWidth="1"/>
    <col min="10" max="10" width="13.85546875" customWidth="1"/>
    <col min="11" max="11" width="14.42578125" customWidth="1"/>
    <col min="12" max="13" width="13.28515625" customWidth="1"/>
    <col min="14" max="16" width="12.85546875" customWidth="1"/>
    <col min="17" max="21" width="12" bestFit="1" customWidth="1"/>
    <col min="22" max="23" width="13" bestFit="1" customWidth="1"/>
    <col min="24" max="24" width="11.42578125" customWidth="1"/>
    <col min="32" max="32" width="11.42578125" customWidth="1"/>
  </cols>
  <sheetData>
    <row r="1" spans="2:23" ht="15.75" thickBot="1" x14ac:dyDescent="0.3"/>
    <row r="2" spans="2:23" x14ac:dyDescent="0.25">
      <c r="B2" s="149" t="s">
        <v>6</v>
      </c>
      <c r="C2" s="150"/>
    </row>
    <row r="3" spans="2:23" ht="15.75" thickBot="1" x14ac:dyDescent="0.3">
      <c r="B3" s="151"/>
      <c r="C3" s="152"/>
    </row>
    <row r="5" spans="2:23" ht="15.75" thickBot="1" x14ac:dyDescent="0.3"/>
    <row r="6" spans="2:23" ht="15.75" thickBot="1" x14ac:dyDescent="0.3">
      <c r="B6" s="12" t="s">
        <v>3</v>
      </c>
      <c r="C6" s="12" t="s">
        <v>4</v>
      </c>
      <c r="D6" s="12" t="s">
        <v>5</v>
      </c>
      <c r="J6" s="163" t="s">
        <v>20</v>
      </c>
      <c r="K6" s="164"/>
      <c r="L6" s="72">
        <v>1</v>
      </c>
      <c r="M6" s="70">
        <v>2</v>
      </c>
      <c r="N6" s="70">
        <v>3</v>
      </c>
      <c r="O6" s="70">
        <v>4</v>
      </c>
      <c r="P6" s="70">
        <v>5</v>
      </c>
      <c r="Q6" s="70">
        <v>6</v>
      </c>
      <c r="R6" s="70">
        <v>7</v>
      </c>
      <c r="S6" s="70">
        <v>8</v>
      </c>
      <c r="T6" s="70">
        <v>9</v>
      </c>
      <c r="U6" s="70">
        <v>10</v>
      </c>
      <c r="V6" s="70">
        <v>11</v>
      </c>
      <c r="W6" s="71">
        <v>12</v>
      </c>
    </row>
    <row r="7" spans="2:23" ht="15.75" thickBot="1" x14ac:dyDescent="0.3">
      <c r="B7" s="3" t="s">
        <v>48</v>
      </c>
      <c r="C7" s="5"/>
      <c r="D7" s="3" t="s">
        <v>54</v>
      </c>
      <c r="F7" s="19" t="s">
        <v>7</v>
      </c>
      <c r="G7" s="46">
        <v>14000000</v>
      </c>
      <c r="J7" s="157" t="s">
        <v>49</v>
      </c>
      <c r="K7" s="158"/>
      <c r="L7" s="73">
        <v>40</v>
      </c>
      <c r="M7" s="68">
        <f t="shared" ref="M7:W7" si="0">(L7*$L14)+L7</f>
        <v>68</v>
      </c>
      <c r="N7" s="68">
        <f t="shared" si="0"/>
        <v>115.6</v>
      </c>
      <c r="O7" s="68">
        <f t="shared" si="0"/>
        <v>196.51999999999998</v>
      </c>
      <c r="P7" s="68">
        <f t="shared" si="0"/>
        <v>334.08399999999995</v>
      </c>
      <c r="Q7" s="68">
        <f t="shared" si="0"/>
        <v>567.94279999999992</v>
      </c>
      <c r="R7" s="68">
        <f t="shared" si="0"/>
        <v>965.50275999999985</v>
      </c>
      <c r="S7" s="68">
        <f t="shared" si="0"/>
        <v>1641.3546919999997</v>
      </c>
      <c r="T7" s="68">
        <f t="shared" si="0"/>
        <v>2790.3029763999994</v>
      </c>
      <c r="U7" s="68">
        <f t="shared" si="0"/>
        <v>4743.5150598799992</v>
      </c>
      <c r="V7" s="68">
        <f t="shared" si="0"/>
        <v>8063.975601795999</v>
      </c>
      <c r="W7" s="69">
        <f t="shared" si="0"/>
        <v>13708.758523053199</v>
      </c>
    </row>
    <row r="8" spans="2:23" ht="15.75" thickBot="1" x14ac:dyDescent="0.3">
      <c r="B8" s="3" t="s">
        <v>9</v>
      </c>
      <c r="C8" s="5">
        <v>5745000</v>
      </c>
      <c r="D8" s="137" t="s">
        <v>2</v>
      </c>
      <c r="F8" s="20" t="s">
        <v>8</v>
      </c>
      <c r="G8" s="15"/>
      <c r="H8" s="18"/>
      <c r="J8" s="159" t="s">
        <v>21</v>
      </c>
      <c r="K8" s="160"/>
      <c r="L8" s="74">
        <f>L7*$L13</f>
        <v>180000</v>
      </c>
      <c r="M8" s="74">
        <f t="shared" ref="M8:W8" si="1">M7*$L13</f>
        <v>306000</v>
      </c>
      <c r="N8" s="74">
        <f t="shared" si="1"/>
        <v>520200</v>
      </c>
      <c r="O8" s="74">
        <f t="shared" si="1"/>
        <v>884339.99999999988</v>
      </c>
      <c r="P8" s="74">
        <f t="shared" si="1"/>
        <v>1503377.9999999998</v>
      </c>
      <c r="Q8" s="74">
        <f t="shared" si="1"/>
        <v>2555742.5999999996</v>
      </c>
      <c r="R8" s="74">
        <f t="shared" si="1"/>
        <v>4344762.419999999</v>
      </c>
      <c r="S8" s="74">
        <f t="shared" si="1"/>
        <v>7386096.1139999982</v>
      </c>
      <c r="T8" s="74">
        <f t="shared" si="1"/>
        <v>12556363.393799998</v>
      </c>
      <c r="U8" s="74">
        <f t="shared" si="1"/>
        <v>21345817.769459996</v>
      </c>
      <c r="V8" s="74">
        <f t="shared" si="1"/>
        <v>36287890.208081998</v>
      </c>
      <c r="W8" s="74">
        <f t="shared" si="1"/>
        <v>61689413.353739396</v>
      </c>
    </row>
    <row r="9" spans="2:23" ht="15.75" thickBot="1" x14ac:dyDescent="0.3">
      <c r="B9" s="3" t="s">
        <v>53</v>
      </c>
      <c r="C9" s="5">
        <v>5800000</v>
      </c>
      <c r="D9" s="3" t="s">
        <v>54</v>
      </c>
      <c r="F9" s="21" t="s">
        <v>17</v>
      </c>
      <c r="G9" s="4">
        <v>12</v>
      </c>
      <c r="H9" s="17" t="s">
        <v>18</v>
      </c>
    </row>
    <row r="10" spans="2:23" x14ac:dyDescent="0.25">
      <c r="B10" s="3" t="s">
        <v>51</v>
      </c>
      <c r="C10" s="5">
        <v>1200000</v>
      </c>
      <c r="D10" s="78" t="s">
        <v>2</v>
      </c>
    </row>
    <row r="11" spans="2:23" x14ac:dyDescent="0.25">
      <c r="B11" s="3" t="s">
        <v>52</v>
      </c>
      <c r="C11" s="5"/>
      <c r="D11" s="3"/>
    </row>
    <row r="12" spans="2:23" ht="15.75" thickBot="1" x14ac:dyDescent="0.3">
      <c r="B12" s="3" t="s">
        <v>55</v>
      </c>
      <c r="C12" s="5">
        <v>60000</v>
      </c>
      <c r="D12" s="78" t="s">
        <v>56</v>
      </c>
    </row>
    <row r="13" spans="2:23" x14ac:dyDescent="0.25">
      <c r="B13" s="3" t="s">
        <v>57</v>
      </c>
      <c r="C13" s="5">
        <v>160000</v>
      </c>
      <c r="D13" s="78" t="s">
        <v>2</v>
      </c>
      <c r="F13" s="61" t="s">
        <v>46</v>
      </c>
      <c r="G13" s="62"/>
      <c r="J13" s="147" t="s">
        <v>50</v>
      </c>
      <c r="K13" s="148"/>
      <c r="L13" s="31">
        <v>4500</v>
      </c>
    </row>
    <row r="14" spans="2:23" ht="15.75" thickBot="1" x14ac:dyDescent="0.3">
      <c r="B14" s="3" t="s">
        <v>58</v>
      </c>
      <c r="C14" s="5">
        <v>80000</v>
      </c>
      <c r="D14" s="79" t="s">
        <v>56</v>
      </c>
      <c r="F14" s="63" t="s">
        <v>47</v>
      </c>
      <c r="G14" s="64"/>
      <c r="J14" s="161" t="s">
        <v>22</v>
      </c>
      <c r="K14" s="162"/>
      <c r="L14" s="32">
        <v>0.7</v>
      </c>
    </row>
    <row r="15" spans="2:23" x14ac:dyDescent="0.25">
      <c r="B15" s="3" t="s">
        <v>59</v>
      </c>
      <c r="C15" s="5">
        <v>322000</v>
      </c>
      <c r="D15" s="79" t="s">
        <v>56</v>
      </c>
      <c r="G15" s="76"/>
      <c r="J15" s="77"/>
      <c r="K15" s="77"/>
      <c r="L15" s="75"/>
    </row>
    <row r="16" spans="2:23" x14ac:dyDescent="0.25">
      <c r="B16" s="13"/>
      <c r="C16" s="13"/>
      <c r="D16" s="13"/>
    </row>
    <row r="17" spans="1:23" ht="15.75" thickBot="1" x14ac:dyDescent="0.3">
      <c r="B17" s="4" t="s">
        <v>16</v>
      </c>
      <c r="C17" s="11">
        <f>SUM(C7:C15)</f>
        <v>13367000</v>
      </c>
      <c r="D17" s="4"/>
    </row>
    <row r="19" spans="1:23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</row>
    <row r="20" spans="1:23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</row>
    <row r="21" spans="1:23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</row>
    <row r="22" spans="1:23" ht="15.75" thickBot="1" x14ac:dyDescent="0.3"/>
    <row r="23" spans="1:23" x14ac:dyDescent="0.25">
      <c r="B23" s="149" t="s">
        <v>23</v>
      </c>
      <c r="C23" s="150"/>
    </row>
    <row r="24" spans="1:23" ht="15.75" thickBot="1" x14ac:dyDescent="0.3">
      <c r="B24" s="151"/>
      <c r="C24" s="152"/>
    </row>
    <row r="25" spans="1:23" ht="15.75" thickBot="1" x14ac:dyDescent="0.3"/>
    <row r="26" spans="1:23" ht="15.75" thickBot="1" x14ac:dyDescent="0.3">
      <c r="B26" s="12" t="s">
        <v>20</v>
      </c>
      <c r="C26" s="14"/>
      <c r="D26" s="22"/>
      <c r="E26" s="65">
        <v>1</v>
      </c>
      <c r="F26" s="65">
        <v>2</v>
      </c>
      <c r="G26" s="65">
        <v>3</v>
      </c>
      <c r="H26" s="22">
        <v>4</v>
      </c>
      <c r="I26" s="22">
        <v>5</v>
      </c>
      <c r="J26" s="22">
        <v>6</v>
      </c>
      <c r="K26" s="22">
        <v>7</v>
      </c>
      <c r="L26" s="22">
        <v>8</v>
      </c>
      <c r="M26" s="22">
        <v>9</v>
      </c>
      <c r="N26" s="22">
        <v>10</v>
      </c>
      <c r="O26" s="22">
        <v>11</v>
      </c>
      <c r="P26" s="23">
        <v>12</v>
      </c>
    </row>
    <row r="27" spans="1:23" ht="15.75" thickBot="1" x14ac:dyDescent="0.3">
      <c r="B27" s="12" t="s">
        <v>23</v>
      </c>
      <c r="C27" s="40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5"/>
    </row>
    <row r="28" spans="1:23" ht="15.75" thickBot="1" x14ac:dyDescent="0.3">
      <c r="B28" s="21" t="s">
        <v>19</v>
      </c>
      <c r="C28" s="25"/>
      <c r="D28" s="29"/>
      <c r="E28" s="66">
        <f t="shared" ref="E28:P28" si="2">L8</f>
        <v>180000</v>
      </c>
      <c r="F28" s="66">
        <f t="shared" si="2"/>
        <v>306000</v>
      </c>
      <c r="G28" s="66">
        <f t="shared" si="2"/>
        <v>520200</v>
      </c>
      <c r="H28" s="66">
        <f t="shared" si="2"/>
        <v>884339.99999999988</v>
      </c>
      <c r="I28" s="66">
        <f t="shared" si="2"/>
        <v>1503377.9999999998</v>
      </c>
      <c r="J28" s="66">
        <f t="shared" si="2"/>
        <v>2555742.5999999996</v>
      </c>
      <c r="K28" s="66">
        <f t="shared" si="2"/>
        <v>4344762.419999999</v>
      </c>
      <c r="L28" s="66">
        <f t="shared" si="2"/>
        <v>7386096.1139999982</v>
      </c>
      <c r="M28" s="66">
        <f t="shared" si="2"/>
        <v>12556363.393799998</v>
      </c>
      <c r="N28" s="66">
        <f t="shared" si="2"/>
        <v>21345817.769459996</v>
      </c>
      <c r="O28" s="66">
        <f t="shared" si="2"/>
        <v>36287890.208081998</v>
      </c>
      <c r="P28" s="67">
        <f t="shared" si="2"/>
        <v>61689413.353739396</v>
      </c>
    </row>
    <row r="29" spans="1:23" ht="15.75" thickBot="1" x14ac:dyDescent="0.3"/>
    <row r="30" spans="1:23" ht="15.75" thickBot="1" x14ac:dyDescent="0.3">
      <c r="B30" s="12" t="s">
        <v>24</v>
      </c>
      <c r="C30" s="40"/>
      <c r="D30" s="44"/>
      <c r="E30" s="44">
        <f t="shared" ref="E30:P30" si="3">SUM(E28:E28)</f>
        <v>180000</v>
      </c>
      <c r="F30" s="44">
        <f t="shared" si="3"/>
        <v>306000</v>
      </c>
      <c r="G30" s="44">
        <f t="shared" si="3"/>
        <v>520200</v>
      </c>
      <c r="H30" s="44">
        <f t="shared" si="3"/>
        <v>884339.99999999988</v>
      </c>
      <c r="I30" s="44">
        <f t="shared" si="3"/>
        <v>1503377.9999999998</v>
      </c>
      <c r="J30" s="44">
        <f t="shared" si="3"/>
        <v>2555742.5999999996</v>
      </c>
      <c r="K30" s="44">
        <f t="shared" si="3"/>
        <v>4344762.419999999</v>
      </c>
      <c r="L30" s="44">
        <f t="shared" si="3"/>
        <v>7386096.1139999982</v>
      </c>
      <c r="M30" s="44">
        <f t="shared" si="3"/>
        <v>12556363.393799998</v>
      </c>
      <c r="N30" s="44">
        <f t="shared" si="3"/>
        <v>21345817.769459996</v>
      </c>
      <c r="O30" s="44">
        <f t="shared" si="3"/>
        <v>36287890.208081998</v>
      </c>
      <c r="P30" s="45">
        <f t="shared" si="3"/>
        <v>61689413.353739396</v>
      </c>
    </row>
    <row r="32" spans="1:23" ht="15.75" thickBot="1" x14ac:dyDescent="0.3"/>
    <row r="33" spans="2:18" x14ac:dyDescent="0.25">
      <c r="B33" s="153" t="s">
        <v>25</v>
      </c>
      <c r="C33" s="154"/>
    </row>
    <row r="34" spans="2:18" ht="15.75" thickBot="1" x14ac:dyDescent="0.3">
      <c r="B34" s="155"/>
      <c r="C34" s="156"/>
    </row>
    <row r="35" spans="2:18" ht="15.75" thickBot="1" x14ac:dyDescent="0.3"/>
    <row r="36" spans="2:18" ht="15.75" thickBot="1" x14ac:dyDescent="0.3">
      <c r="B36" s="6" t="s">
        <v>20</v>
      </c>
      <c r="C36" s="82"/>
      <c r="D36" s="36"/>
      <c r="E36" s="36">
        <v>1</v>
      </c>
      <c r="F36" s="36">
        <v>2</v>
      </c>
      <c r="G36" s="36">
        <v>3</v>
      </c>
      <c r="H36" s="36">
        <v>4</v>
      </c>
      <c r="I36" s="36">
        <v>5</v>
      </c>
      <c r="J36" s="36">
        <v>6</v>
      </c>
      <c r="K36" s="36">
        <v>7</v>
      </c>
      <c r="L36" s="36">
        <v>8</v>
      </c>
      <c r="M36" s="36">
        <v>9</v>
      </c>
      <c r="N36" s="36">
        <v>10</v>
      </c>
      <c r="O36" s="36">
        <v>11</v>
      </c>
      <c r="P36" s="18">
        <v>12</v>
      </c>
    </row>
    <row r="37" spans="2:18" ht="15.75" thickBot="1" x14ac:dyDescent="0.3">
      <c r="B37" s="41" t="s">
        <v>25</v>
      </c>
      <c r="C37" s="37" t="s">
        <v>26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9"/>
    </row>
    <row r="38" spans="2:18" x14ac:dyDescent="0.25">
      <c r="B38" s="6" t="s">
        <v>48</v>
      </c>
      <c r="C38" s="83"/>
      <c r="D38" s="36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1"/>
      <c r="R38" s="10"/>
    </row>
    <row r="39" spans="2:18" x14ac:dyDescent="0.25">
      <c r="B39" s="3" t="s">
        <v>15</v>
      </c>
      <c r="C39" s="84">
        <v>5800000</v>
      </c>
      <c r="D39">
        <v>1</v>
      </c>
      <c r="E39" s="10">
        <v>5800000</v>
      </c>
      <c r="P39" s="16"/>
    </row>
    <row r="40" spans="2:18" x14ac:dyDescent="0.25">
      <c r="B40" s="3" t="s">
        <v>60</v>
      </c>
      <c r="C40" s="84">
        <v>1200000</v>
      </c>
      <c r="D40">
        <v>12</v>
      </c>
      <c r="E40" s="10">
        <f>$C40/$D40</f>
        <v>100000</v>
      </c>
      <c r="F40" s="10">
        <f t="shared" ref="F40:P40" si="4">$C40/$D40</f>
        <v>100000</v>
      </c>
      <c r="G40" s="10">
        <f t="shared" si="4"/>
        <v>100000</v>
      </c>
      <c r="H40" s="10">
        <f t="shared" si="4"/>
        <v>100000</v>
      </c>
      <c r="I40" s="10">
        <f t="shared" si="4"/>
        <v>100000</v>
      </c>
      <c r="J40" s="10">
        <f t="shared" si="4"/>
        <v>100000</v>
      </c>
      <c r="K40" s="10">
        <f t="shared" si="4"/>
        <v>100000</v>
      </c>
      <c r="L40" s="10">
        <f t="shared" si="4"/>
        <v>100000</v>
      </c>
      <c r="M40" s="10">
        <f t="shared" si="4"/>
        <v>100000</v>
      </c>
      <c r="N40" s="10">
        <f t="shared" si="4"/>
        <v>100000</v>
      </c>
      <c r="O40" s="10">
        <f t="shared" si="4"/>
        <v>100000</v>
      </c>
      <c r="P40" s="28">
        <f t="shared" si="4"/>
        <v>100000</v>
      </c>
    </row>
    <row r="41" spans="2:18" x14ac:dyDescent="0.25">
      <c r="B41" s="3" t="s">
        <v>52</v>
      </c>
      <c r="C41" s="8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28"/>
    </row>
    <row r="42" spans="2:18" x14ac:dyDescent="0.25">
      <c r="B42" s="3" t="s">
        <v>61</v>
      </c>
      <c r="C42" s="84">
        <v>60000</v>
      </c>
      <c r="D42">
        <v>4</v>
      </c>
      <c r="E42" s="10">
        <v>60000</v>
      </c>
      <c r="F42" s="10"/>
      <c r="G42" s="10"/>
      <c r="H42" s="10">
        <v>60000</v>
      </c>
      <c r="I42" s="10"/>
      <c r="J42" s="10"/>
      <c r="K42" s="10">
        <v>60000</v>
      </c>
      <c r="L42" s="10"/>
      <c r="M42" s="10"/>
      <c r="N42" s="10">
        <v>60000</v>
      </c>
      <c r="O42" s="10"/>
      <c r="P42" s="28"/>
    </row>
    <row r="43" spans="2:18" x14ac:dyDescent="0.25">
      <c r="B43" s="3" t="s">
        <v>57</v>
      </c>
      <c r="C43" s="84">
        <v>160000</v>
      </c>
      <c r="D43">
        <v>1</v>
      </c>
      <c r="E43" s="10">
        <f>$C$43/$D$43</f>
        <v>160000</v>
      </c>
      <c r="F43" s="10">
        <f t="shared" ref="F43:P43" si="5">$C$43/$D$43</f>
        <v>160000</v>
      </c>
      <c r="G43" s="10">
        <f t="shared" si="5"/>
        <v>160000</v>
      </c>
      <c r="H43" s="10">
        <f t="shared" si="5"/>
        <v>160000</v>
      </c>
      <c r="I43" s="10">
        <f t="shared" si="5"/>
        <v>160000</v>
      </c>
      <c r="J43" s="10">
        <f t="shared" si="5"/>
        <v>160000</v>
      </c>
      <c r="K43" s="10">
        <f t="shared" si="5"/>
        <v>160000</v>
      </c>
      <c r="L43" s="10">
        <f t="shared" si="5"/>
        <v>160000</v>
      </c>
      <c r="M43" s="10">
        <f t="shared" si="5"/>
        <v>160000</v>
      </c>
      <c r="N43" s="10">
        <f t="shared" si="5"/>
        <v>160000</v>
      </c>
      <c r="O43" s="10">
        <f t="shared" si="5"/>
        <v>160000</v>
      </c>
      <c r="P43" s="28">
        <f t="shared" si="5"/>
        <v>160000</v>
      </c>
    </row>
    <row r="44" spans="2:18" x14ac:dyDescent="0.25">
      <c r="B44" s="3" t="s">
        <v>58</v>
      </c>
      <c r="C44" s="84">
        <v>80000</v>
      </c>
      <c r="E44" s="10">
        <v>20000</v>
      </c>
      <c r="F44" s="10"/>
      <c r="G44" s="10">
        <v>20000</v>
      </c>
      <c r="H44" s="10">
        <v>20000</v>
      </c>
      <c r="I44" s="10">
        <v>20000</v>
      </c>
      <c r="J44" s="10"/>
      <c r="K44" s="10"/>
      <c r="L44" s="10"/>
      <c r="M44" s="10"/>
      <c r="N44" s="10"/>
      <c r="O44" s="10"/>
      <c r="P44" s="28"/>
    </row>
    <row r="45" spans="2:18" x14ac:dyDescent="0.25">
      <c r="B45" s="3" t="s">
        <v>59</v>
      </c>
      <c r="C45" s="84">
        <v>322000</v>
      </c>
      <c r="E45" s="10">
        <v>80500</v>
      </c>
      <c r="G45" s="10">
        <v>80500</v>
      </c>
      <c r="H45" s="86">
        <v>80500</v>
      </c>
      <c r="I45" s="10">
        <v>80500</v>
      </c>
      <c r="P45" s="16"/>
    </row>
    <row r="46" spans="2:18" x14ac:dyDescent="0.25">
      <c r="B46" s="3" t="s">
        <v>9</v>
      </c>
      <c r="C46" s="84">
        <v>5745000</v>
      </c>
      <c r="D46">
        <v>3</v>
      </c>
      <c r="E46" s="10">
        <v>1090000</v>
      </c>
      <c r="F46" s="10">
        <v>1256667</v>
      </c>
      <c r="G46" s="10">
        <v>1256667</v>
      </c>
      <c r="H46" s="10">
        <v>1256667</v>
      </c>
      <c r="I46" s="10">
        <v>885000</v>
      </c>
      <c r="P46" s="16"/>
    </row>
    <row r="47" spans="2:18" ht="15.75" thickBot="1" x14ac:dyDescent="0.3">
      <c r="B47" s="4"/>
      <c r="C47" s="85"/>
      <c r="D47" s="24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30"/>
    </row>
    <row r="48" spans="2:18" ht="15.75" thickBot="1" x14ac:dyDescent="0.3"/>
    <row r="49" spans="1:23" ht="15.75" thickBot="1" x14ac:dyDescent="0.3">
      <c r="B49" s="37" t="s">
        <v>27</v>
      </c>
      <c r="C49" s="38"/>
      <c r="D49" s="38"/>
      <c r="E49" s="42">
        <f t="shared" ref="E49:P49" si="6">SUM(E38:E47)</f>
        <v>7310500</v>
      </c>
      <c r="F49" s="42">
        <f t="shared" si="6"/>
        <v>1516667</v>
      </c>
      <c r="G49" s="42">
        <f t="shared" si="6"/>
        <v>1617167</v>
      </c>
      <c r="H49" s="42">
        <f t="shared" si="6"/>
        <v>1677167</v>
      </c>
      <c r="I49" s="42">
        <f t="shared" si="6"/>
        <v>1245500</v>
      </c>
      <c r="J49" s="42">
        <f t="shared" si="6"/>
        <v>260000</v>
      </c>
      <c r="K49" s="42">
        <f t="shared" si="6"/>
        <v>320000</v>
      </c>
      <c r="L49" s="42">
        <f t="shared" si="6"/>
        <v>260000</v>
      </c>
      <c r="M49" s="42">
        <f t="shared" si="6"/>
        <v>260000</v>
      </c>
      <c r="N49" s="42">
        <f t="shared" si="6"/>
        <v>320000</v>
      </c>
      <c r="O49" s="42">
        <f t="shared" si="6"/>
        <v>260000</v>
      </c>
      <c r="P49" s="43">
        <f t="shared" si="6"/>
        <v>260000</v>
      </c>
    </row>
    <row r="51" spans="1:23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</row>
    <row r="52" spans="1:23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</row>
    <row r="53" spans="1:23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</row>
    <row r="54" spans="1:23" ht="15.75" thickBot="1" x14ac:dyDescent="0.3"/>
    <row r="55" spans="1:23" x14ac:dyDescent="0.25">
      <c r="B55" s="143" t="s">
        <v>28</v>
      </c>
      <c r="C55" s="144"/>
    </row>
    <row r="56" spans="1:23" ht="15.75" thickBot="1" x14ac:dyDescent="0.3">
      <c r="B56" s="145"/>
      <c r="C56" s="146"/>
    </row>
    <row r="57" spans="1:23" ht="15.75" thickBot="1" x14ac:dyDescent="0.3"/>
    <row r="58" spans="1:23" ht="15.75" thickBot="1" x14ac:dyDescent="0.3">
      <c r="B58" s="49" t="s">
        <v>17</v>
      </c>
      <c r="C58" s="49"/>
      <c r="D58" s="27">
        <v>0</v>
      </c>
      <c r="E58" s="27">
        <v>1</v>
      </c>
      <c r="F58" s="27">
        <v>2</v>
      </c>
      <c r="G58" s="27">
        <v>3</v>
      </c>
      <c r="H58" s="27">
        <v>4</v>
      </c>
      <c r="I58" s="27">
        <v>5</v>
      </c>
      <c r="J58" s="27">
        <v>6</v>
      </c>
      <c r="K58" s="27">
        <v>7</v>
      </c>
      <c r="L58" s="27">
        <v>8</v>
      </c>
      <c r="M58" s="27">
        <v>9</v>
      </c>
      <c r="N58" s="27">
        <v>10</v>
      </c>
      <c r="O58" s="27">
        <v>11</v>
      </c>
      <c r="P58" s="48">
        <v>12</v>
      </c>
    </row>
    <row r="59" spans="1:23" x14ac:dyDescent="0.25">
      <c r="B59" s="3" t="s">
        <v>23</v>
      </c>
      <c r="C59" s="3"/>
      <c r="P59" s="16"/>
    </row>
    <row r="60" spans="1:23" x14ac:dyDescent="0.25">
      <c r="B60" s="3" t="s">
        <v>31</v>
      </c>
      <c r="C60" s="3"/>
      <c r="E60" s="26">
        <f t="shared" ref="E60:P60" si="7">E30</f>
        <v>180000</v>
      </c>
      <c r="F60" s="26">
        <f t="shared" si="7"/>
        <v>306000</v>
      </c>
      <c r="G60" s="26">
        <f t="shared" si="7"/>
        <v>520200</v>
      </c>
      <c r="H60" s="26">
        <f t="shared" si="7"/>
        <v>884339.99999999988</v>
      </c>
      <c r="I60" s="26">
        <f t="shared" si="7"/>
        <v>1503377.9999999998</v>
      </c>
      <c r="J60" s="26">
        <f t="shared" si="7"/>
        <v>2555742.5999999996</v>
      </c>
      <c r="K60" s="26">
        <f t="shared" si="7"/>
        <v>4344762.419999999</v>
      </c>
      <c r="L60" s="26">
        <f t="shared" si="7"/>
        <v>7386096.1139999982</v>
      </c>
      <c r="M60" s="26">
        <f t="shared" si="7"/>
        <v>12556363.393799998</v>
      </c>
      <c r="N60" s="26">
        <f t="shared" si="7"/>
        <v>21345817.769459996</v>
      </c>
      <c r="O60" s="26">
        <f t="shared" si="7"/>
        <v>36287890.208081998</v>
      </c>
      <c r="P60" s="87">
        <f t="shared" si="7"/>
        <v>61689413.353739396</v>
      </c>
    </row>
    <row r="61" spans="1:23" x14ac:dyDescent="0.25">
      <c r="B61" s="3" t="s">
        <v>25</v>
      </c>
      <c r="C61" s="3"/>
      <c r="P61" s="16"/>
    </row>
    <row r="62" spans="1:23" x14ac:dyDescent="0.25">
      <c r="B62" s="3" t="s">
        <v>3</v>
      </c>
      <c r="C62" s="3"/>
      <c r="E62" s="10">
        <f>E49</f>
        <v>7310500</v>
      </c>
      <c r="F62" s="10">
        <f t="shared" ref="F62:P62" si="8">F49</f>
        <v>1516667</v>
      </c>
      <c r="G62" s="10">
        <f t="shared" si="8"/>
        <v>1617167</v>
      </c>
      <c r="H62" s="10">
        <f t="shared" si="8"/>
        <v>1677167</v>
      </c>
      <c r="I62" s="10">
        <f t="shared" si="8"/>
        <v>1245500</v>
      </c>
      <c r="J62" s="10">
        <f t="shared" si="8"/>
        <v>260000</v>
      </c>
      <c r="K62" s="10">
        <f t="shared" si="8"/>
        <v>320000</v>
      </c>
      <c r="L62" s="10">
        <f t="shared" si="8"/>
        <v>260000</v>
      </c>
      <c r="M62" s="10">
        <f t="shared" si="8"/>
        <v>260000</v>
      </c>
      <c r="N62" s="10">
        <f t="shared" si="8"/>
        <v>320000</v>
      </c>
      <c r="O62" s="10">
        <f t="shared" si="8"/>
        <v>260000</v>
      </c>
      <c r="P62" s="28">
        <f t="shared" si="8"/>
        <v>260000</v>
      </c>
    </row>
    <row r="63" spans="1:23" x14ac:dyDescent="0.25">
      <c r="B63" s="3" t="s">
        <v>29</v>
      </c>
      <c r="C63" s="3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50"/>
    </row>
    <row r="64" spans="1:23" x14ac:dyDescent="0.25">
      <c r="B64" s="3" t="s">
        <v>32</v>
      </c>
      <c r="C64" s="3"/>
      <c r="E64" s="26">
        <f>SUM(E62+E63)</f>
        <v>7310500</v>
      </c>
      <c r="F64" s="26">
        <f t="shared" ref="F64:P64" si="9">SUM(F62+F63)</f>
        <v>1516667</v>
      </c>
      <c r="G64" s="26">
        <f t="shared" si="9"/>
        <v>1617167</v>
      </c>
      <c r="H64" s="26">
        <f t="shared" si="9"/>
        <v>1677167</v>
      </c>
      <c r="I64" s="26">
        <f t="shared" si="9"/>
        <v>1245500</v>
      </c>
      <c r="J64" s="26">
        <f t="shared" si="9"/>
        <v>260000</v>
      </c>
      <c r="K64" s="26">
        <f t="shared" si="9"/>
        <v>320000</v>
      </c>
      <c r="L64" s="26">
        <f t="shared" si="9"/>
        <v>260000</v>
      </c>
      <c r="M64" s="26">
        <f t="shared" si="9"/>
        <v>260000</v>
      </c>
      <c r="N64" s="26">
        <f t="shared" si="9"/>
        <v>320000</v>
      </c>
      <c r="O64" s="26">
        <f t="shared" si="9"/>
        <v>260000</v>
      </c>
      <c r="P64" s="87">
        <f t="shared" si="9"/>
        <v>260000</v>
      </c>
    </row>
    <row r="65" spans="2:16" x14ac:dyDescent="0.25">
      <c r="B65" s="3" t="s">
        <v>33</v>
      </c>
      <c r="C65" s="3"/>
      <c r="E65" s="10">
        <f>E60-E64</f>
        <v>-7130500</v>
      </c>
      <c r="F65" s="10">
        <f t="shared" ref="F65:P65" si="10">F60-F64</f>
        <v>-1210667</v>
      </c>
      <c r="G65" s="10">
        <f t="shared" si="10"/>
        <v>-1096967</v>
      </c>
      <c r="H65" s="10">
        <f t="shared" si="10"/>
        <v>-792827.00000000012</v>
      </c>
      <c r="I65" s="10">
        <f t="shared" si="10"/>
        <v>257877.99999999977</v>
      </c>
      <c r="J65" s="10">
        <f t="shared" si="10"/>
        <v>2295742.5999999996</v>
      </c>
      <c r="K65" s="10">
        <f t="shared" si="10"/>
        <v>4024762.419999999</v>
      </c>
      <c r="L65" s="10">
        <f t="shared" si="10"/>
        <v>7126096.1139999982</v>
      </c>
      <c r="M65" s="10">
        <f t="shared" si="10"/>
        <v>12296363.393799998</v>
      </c>
      <c r="N65" s="10">
        <f t="shared" si="10"/>
        <v>21025817.769459996</v>
      </c>
      <c r="O65" s="10">
        <f t="shared" si="10"/>
        <v>36027890.208081998</v>
      </c>
      <c r="P65" s="28">
        <f t="shared" si="10"/>
        <v>61429413.353739396</v>
      </c>
    </row>
    <row r="66" spans="2:16" ht="15.75" thickBot="1" x14ac:dyDescent="0.3">
      <c r="B66" s="3" t="s">
        <v>30</v>
      </c>
      <c r="C66" s="15">
        <v>0</v>
      </c>
      <c r="E66" s="10">
        <f>E65*$C$66</f>
        <v>0</v>
      </c>
      <c r="F66" s="10">
        <f t="shared" ref="F66:P66" si="11">F65*$C$66</f>
        <v>0</v>
      </c>
      <c r="G66" s="10">
        <f t="shared" si="11"/>
        <v>0</v>
      </c>
      <c r="H66" s="10">
        <f t="shared" si="11"/>
        <v>0</v>
      </c>
      <c r="I66" s="10">
        <f t="shared" si="11"/>
        <v>0</v>
      </c>
      <c r="J66" s="10">
        <f t="shared" si="11"/>
        <v>0</v>
      </c>
      <c r="K66" s="10">
        <f t="shared" si="11"/>
        <v>0</v>
      </c>
      <c r="L66" s="10">
        <f t="shared" si="11"/>
        <v>0</v>
      </c>
      <c r="M66" s="10">
        <f t="shared" si="11"/>
        <v>0</v>
      </c>
      <c r="N66" s="10">
        <f t="shared" si="11"/>
        <v>0</v>
      </c>
      <c r="O66" s="10">
        <f t="shared" si="11"/>
        <v>0</v>
      </c>
      <c r="P66" s="28">
        <f t="shared" si="11"/>
        <v>0</v>
      </c>
    </row>
    <row r="67" spans="2:16" ht="15.75" thickBot="1" x14ac:dyDescent="0.3">
      <c r="B67" s="3" t="s">
        <v>34</v>
      </c>
      <c r="C67" s="3"/>
      <c r="D67" s="88">
        <v>-14000000</v>
      </c>
      <c r="E67" s="136">
        <f>E65-E66</f>
        <v>-7130500</v>
      </c>
      <c r="F67" s="89">
        <f t="shared" ref="F67:P67" si="12">F65-F66</f>
        <v>-1210667</v>
      </c>
      <c r="G67" s="136">
        <f t="shared" si="12"/>
        <v>-1096967</v>
      </c>
      <c r="H67" s="89">
        <f t="shared" si="12"/>
        <v>-792827.00000000012</v>
      </c>
      <c r="I67" s="135">
        <f t="shared" si="12"/>
        <v>257877.99999999977</v>
      </c>
      <c r="J67" s="90">
        <f t="shared" si="12"/>
        <v>2295742.5999999996</v>
      </c>
      <c r="K67" s="135">
        <f t="shared" si="12"/>
        <v>4024762.419999999</v>
      </c>
      <c r="L67" s="130">
        <f t="shared" si="12"/>
        <v>7126096.1139999982</v>
      </c>
      <c r="M67" s="134">
        <f t="shared" si="12"/>
        <v>12296363.393799998</v>
      </c>
      <c r="N67" s="135">
        <f t="shared" si="12"/>
        <v>21025817.769459996</v>
      </c>
      <c r="O67" s="133">
        <f t="shared" si="12"/>
        <v>36027890.208081998</v>
      </c>
      <c r="P67" s="28">
        <f t="shared" si="12"/>
        <v>61429413.353739396</v>
      </c>
    </row>
    <row r="68" spans="2:16" x14ac:dyDescent="0.25">
      <c r="B68" s="3" t="s">
        <v>35</v>
      </c>
      <c r="C68" s="132">
        <f>NPV(0.13,E67:P67)+D67</f>
        <v>16980904.92077465</v>
      </c>
      <c r="P68" s="16"/>
    </row>
    <row r="69" spans="2:16" x14ac:dyDescent="0.25">
      <c r="B69" s="3" t="s">
        <v>36</v>
      </c>
      <c r="C69" s="52">
        <f>IRR(D67:P67)</f>
        <v>0.19640986683915762</v>
      </c>
      <c r="P69" s="16"/>
    </row>
    <row r="70" spans="2:16" ht="15.75" thickBot="1" x14ac:dyDescent="0.3">
      <c r="B70" s="3" t="s">
        <v>37</v>
      </c>
      <c r="C70" s="51">
        <f>(C68-ABS(D67))/ABS(D67)</f>
        <v>0.21292178005533213</v>
      </c>
      <c r="P70" s="16"/>
    </row>
    <row r="71" spans="2:16" ht="15.75" thickBot="1" x14ac:dyDescent="0.3">
      <c r="B71" s="4" t="s">
        <v>38</v>
      </c>
      <c r="C71" s="131" t="s">
        <v>89</v>
      </c>
      <c r="D71" s="91">
        <f>SUM(D67:L67)/M67</f>
        <v>-0.85606463707046954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17"/>
    </row>
    <row r="72" spans="2:16" ht="15.75" thickBot="1" x14ac:dyDescent="0.3">
      <c r="B72" s="92" t="s">
        <v>62</v>
      </c>
      <c r="C72" s="93">
        <f>SUM(D67:M67)</f>
        <v>1769881.5277999956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3"/>
    </row>
    <row r="73" spans="2:16" ht="15.75" thickBot="1" x14ac:dyDescent="0.3">
      <c r="B73" s="92" t="s">
        <v>63</v>
      </c>
      <c r="C73" s="94">
        <f>D71*30</f>
        <v>-25.681939112114087</v>
      </c>
    </row>
  </sheetData>
  <mergeCells count="9">
    <mergeCell ref="B55:C56"/>
    <mergeCell ref="J13:K13"/>
    <mergeCell ref="B23:C24"/>
    <mergeCell ref="B33:C34"/>
    <mergeCell ref="B2:C3"/>
    <mergeCell ref="J7:K7"/>
    <mergeCell ref="J8:K8"/>
    <mergeCell ref="J14:K14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B047-CEE2-4C82-8996-5E5BCF38F992}">
  <dimension ref="B1:D14"/>
  <sheetViews>
    <sheetView workbookViewId="0">
      <selection activeCell="G4" sqref="G4"/>
    </sheetView>
  </sheetViews>
  <sheetFormatPr baseColWidth="10" defaultRowHeight="15" x14ac:dyDescent="0.25"/>
  <cols>
    <col min="2" max="2" width="13.28515625" customWidth="1"/>
    <col min="3" max="3" width="32" customWidth="1"/>
    <col min="4" max="4" width="16.85546875" customWidth="1"/>
  </cols>
  <sheetData>
    <row r="1" spans="2:4" ht="15.75" thickBot="1" x14ac:dyDescent="0.3"/>
    <row r="2" spans="2:4" ht="15.75" thickBot="1" x14ac:dyDescent="0.3">
      <c r="B2" s="12" t="s">
        <v>41</v>
      </c>
      <c r="C2" s="12" t="s">
        <v>39</v>
      </c>
      <c r="D2" s="12" t="s">
        <v>40</v>
      </c>
    </row>
    <row r="3" spans="2:4" ht="84" customHeight="1" x14ac:dyDescent="0.25">
      <c r="B3" s="55" t="s">
        <v>42</v>
      </c>
      <c r="C3" s="53" t="s">
        <v>65</v>
      </c>
      <c r="D3" s="57">
        <f>'Flujo de caja y datos'!C68</f>
        <v>16980904.92077465</v>
      </c>
    </row>
    <row r="4" spans="2:4" ht="95.25" customHeight="1" x14ac:dyDescent="0.25">
      <c r="B4" s="55" t="s">
        <v>43</v>
      </c>
      <c r="C4" s="53" t="s">
        <v>92</v>
      </c>
      <c r="D4" s="58">
        <f>'Flujo de caja y datos'!C69</f>
        <v>0.19640986683915762</v>
      </c>
    </row>
    <row r="5" spans="2:4" ht="66" customHeight="1" x14ac:dyDescent="0.25">
      <c r="B5" s="55" t="s">
        <v>38</v>
      </c>
      <c r="C5" s="53" t="s">
        <v>91</v>
      </c>
      <c r="D5" s="55" t="str">
        <f>'Flujo de caja y datos'!C71</f>
        <v>9 meses y 25 días</v>
      </c>
    </row>
    <row r="6" spans="2:4" ht="42" customHeight="1" thickBot="1" x14ac:dyDescent="0.3">
      <c r="B6" s="56" t="s">
        <v>44</v>
      </c>
      <c r="C6" s="54" t="s">
        <v>90</v>
      </c>
      <c r="D6" s="59">
        <f>'Flujo de caja y datos'!C70</f>
        <v>0.21292178005533213</v>
      </c>
    </row>
    <row r="8" spans="2:4" ht="15.75" thickBot="1" x14ac:dyDescent="0.3"/>
    <row r="9" spans="2:4" ht="15.75" thickBot="1" x14ac:dyDescent="0.3">
      <c r="B9" s="60" t="s">
        <v>45</v>
      </c>
    </row>
    <row r="10" spans="2:4" ht="15" customHeight="1" x14ac:dyDescent="0.25">
      <c r="B10" s="165" t="s">
        <v>64</v>
      </c>
      <c r="C10" s="166"/>
      <c r="D10" s="167"/>
    </row>
    <row r="11" spans="2:4" x14ac:dyDescent="0.25">
      <c r="B11" s="168"/>
      <c r="C11" s="169"/>
      <c r="D11" s="170"/>
    </row>
    <row r="12" spans="2:4" x14ac:dyDescent="0.25">
      <c r="B12" s="168"/>
      <c r="C12" s="169"/>
      <c r="D12" s="170"/>
    </row>
    <row r="13" spans="2:4" x14ac:dyDescent="0.25">
      <c r="B13" s="168"/>
      <c r="C13" s="169"/>
      <c r="D13" s="170"/>
    </row>
    <row r="14" spans="2:4" ht="15.75" thickBot="1" x14ac:dyDescent="0.3">
      <c r="B14" s="171"/>
      <c r="C14" s="172"/>
      <c r="D14" s="173"/>
    </row>
  </sheetData>
  <mergeCells count="1">
    <mergeCell ref="B10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Gastos de solución</vt:lpstr>
      <vt:lpstr>Flujo de caja y datos</vt:lpstr>
      <vt:lpstr>Concluciones E interpretaciones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Cruells Orellana</dc:creator>
  <cp:lastModifiedBy>JONATHAN ESTEBAN CRUELLS ORELLANA</cp:lastModifiedBy>
  <dcterms:created xsi:type="dcterms:W3CDTF">2024-05-31T00:39:44Z</dcterms:created>
  <dcterms:modified xsi:type="dcterms:W3CDTF">2025-11-29T18:06:47Z</dcterms:modified>
</cp:coreProperties>
</file>